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81719C-2B43-486A-9E25-57CAF61989B8}" xr6:coauthVersionLast="47" xr6:coauthVersionMax="47" xr10:uidLastSave="{00000000-0000-0000-0000-000000000000}"/>
  <bookViews>
    <workbookView xWindow="-103" yWindow="-103" windowWidth="19543" windowHeight="13097" xr2:uid="{00000000-000D-0000-FFFF-FFFF00000000}"/>
  </bookViews>
  <sheets>
    <sheet name="Firm data" sheetId="1" r:id="rId1"/>
    <sheet name="Variabl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2" i="1" l="1"/>
  <c r="I52" i="1"/>
  <c r="G52" i="1"/>
  <c r="F52" i="1"/>
  <c r="AD51" i="1"/>
  <c r="I51" i="1"/>
  <c r="G51" i="1"/>
  <c r="F51" i="1"/>
  <c r="AD50" i="1"/>
  <c r="I50" i="1"/>
  <c r="G50" i="1"/>
  <c r="F50" i="1"/>
  <c r="AD49" i="1"/>
  <c r="I49" i="1"/>
  <c r="G49" i="1"/>
  <c r="F49" i="1"/>
  <c r="AS48" i="1"/>
  <c r="AD48" i="1"/>
  <c r="I48" i="1"/>
  <c r="G48" i="1"/>
  <c r="F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M32" i="1"/>
  <c r="AD32" i="1"/>
  <c r="T32" i="1"/>
  <c r="I32" i="1"/>
  <c r="H32" i="1"/>
  <c r="F32" i="1"/>
  <c r="AM31" i="1"/>
  <c r="AD31" i="1"/>
  <c r="T31" i="1"/>
  <c r="I31" i="1"/>
  <c r="H31" i="1"/>
  <c r="F31" i="1"/>
  <c r="AM30" i="1"/>
  <c r="AD30" i="1"/>
  <c r="T30" i="1"/>
  <c r="I30" i="1"/>
  <c r="H30" i="1"/>
  <c r="F30" i="1"/>
  <c r="AM29" i="1"/>
  <c r="AD29" i="1"/>
  <c r="T29" i="1"/>
  <c r="I29" i="1"/>
  <c r="H29" i="1"/>
  <c r="F29" i="1"/>
  <c r="AS28" i="1"/>
  <c r="AM28" i="1"/>
  <c r="AD28" i="1"/>
  <c r="T28" i="1"/>
  <c r="I28" i="1"/>
  <c r="F28" i="1"/>
  <c r="AM27" i="1"/>
  <c r="AD27" i="1"/>
  <c r="T27" i="1"/>
  <c r="AM26" i="1"/>
  <c r="AD26" i="1"/>
  <c r="T26" i="1"/>
  <c r="F26" i="1"/>
  <c r="AM25" i="1"/>
  <c r="AD25" i="1"/>
  <c r="T25" i="1"/>
  <c r="I25" i="1"/>
  <c r="F25" i="1"/>
  <c r="AM24" i="1"/>
  <c r="AD24" i="1"/>
  <c r="T24" i="1"/>
  <c r="I24" i="1"/>
  <c r="F24" i="1"/>
  <c r="AM23" i="1"/>
  <c r="AD23" i="1"/>
  <c r="T23" i="1"/>
  <c r="I23" i="1"/>
  <c r="H23" i="1"/>
  <c r="F23" i="1"/>
  <c r="AD22" i="1"/>
  <c r="F22" i="1"/>
  <c r="AD21" i="1"/>
  <c r="F21" i="1"/>
  <c r="AD20" i="1"/>
  <c r="F20" i="1"/>
  <c r="AD19" i="1"/>
  <c r="I19" i="1"/>
  <c r="F19" i="1"/>
  <c r="AS18" i="1"/>
  <c r="AD18" i="1"/>
  <c r="H18" i="1"/>
  <c r="AD17" i="1"/>
  <c r="I17" i="1"/>
  <c r="H17" i="1"/>
  <c r="G17" i="1"/>
  <c r="AD16" i="1"/>
  <c r="I16" i="1"/>
  <c r="H16" i="1"/>
  <c r="G16" i="1"/>
  <c r="F16" i="1"/>
  <c r="AD15" i="1"/>
  <c r="I15" i="1"/>
  <c r="H15" i="1"/>
  <c r="G15" i="1"/>
  <c r="F15" i="1"/>
  <c r="AD14" i="1"/>
  <c r="I14" i="1"/>
  <c r="H14" i="1"/>
  <c r="G14" i="1"/>
  <c r="F14" i="1"/>
  <c r="AD13" i="1"/>
  <c r="I13" i="1"/>
  <c r="H13" i="1"/>
  <c r="G13" i="1"/>
  <c r="F13" i="1"/>
  <c r="AD12" i="1"/>
  <c r="AD11" i="1"/>
  <c r="AD10" i="1"/>
  <c r="AD9" i="1"/>
  <c r="AD8" i="1"/>
  <c r="AD7" i="1"/>
  <c r="AD6" i="1"/>
  <c r="AD5" i="1"/>
  <c r="AD4" i="1"/>
  <c r="AD3" i="1"/>
</calcChain>
</file>

<file path=xl/sharedStrings.xml><?xml version="1.0" encoding="utf-8"?>
<sst xmlns="http://schemas.openxmlformats.org/spreadsheetml/2006/main" count="433" uniqueCount="135">
  <si>
    <t>DỮ LIỆU TÀI CHÍNH CÁC DOANH NGHIỆP SẢN XUẤT NIÊM YẾT TRÊN THỊ TRƯỜNG CHỨNG KHOÁN VIỆT NAM GIAI ĐOẠN 2009-2024</t>
  </si>
  <si>
    <t>No.</t>
  </si>
  <si>
    <t>Company</t>
  </si>
  <si>
    <t>StockCode</t>
  </si>
  <si>
    <t>YearEnd</t>
  </si>
  <si>
    <t>Industry</t>
  </si>
  <si>
    <t>Managerial/Inside ownership</t>
  </si>
  <si>
    <t>State ownership</t>
  </si>
  <si>
    <t>Institutional ownership</t>
  </si>
  <si>
    <t>Foreign ownership</t>
  </si>
  <si>
    <t>Total share outstanding</t>
  </si>
  <si>
    <t>Total sales revenue</t>
  </si>
  <si>
    <t>Net sales revenue</t>
  </si>
  <si>
    <t>Total assets</t>
  </si>
  <si>
    <t>Selling expenses</t>
  </si>
  <si>
    <t>General and administrative expenditure</t>
  </si>
  <si>
    <t>Value of intangible assets</t>
  </si>
  <si>
    <t>Manufacturing overhead (Indirect cost)</t>
  </si>
  <si>
    <t>Net operating income</t>
  </si>
  <si>
    <t>Consumption of raw material</t>
  </si>
  <si>
    <t>Merchandise purchase of the year</t>
  </si>
  <si>
    <t>Work-in-progess goods purchase</t>
  </si>
  <si>
    <t>Outside manufacturing expenses</t>
  </si>
  <si>
    <t>Production cost</t>
  </si>
  <si>
    <t>R&amp;D</t>
  </si>
  <si>
    <t>Product innovation</t>
  </si>
  <si>
    <t>Process innovation</t>
  </si>
  <si>
    <t>Net Income</t>
  </si>
  <si>
    <t>Share Price</t>
  </si>
  <si>
    <t>Total shareholders' equity</t>
  </si>
  <si>
    <t>Market value of equity</t>
  </si>
  <si>
    <t>Total liabilities</t>
  </si>
  <si>
    <t>Net cash from operating activities</t>
  </si>
  <si>
    <t>Capital expenditure</t>
  </si>
  <si>
    <t>Cash flows from investing activities</t>
  </si>
  <si>
    <t>Cash and cash equivalent</t>
  </si>
  <si>
    <t>Long-term debt</t>
  </si>
  <si>
    <t>Current assets</t>
  </si>
  <si>
    <t>Current liabilities</t>
  </si>
  <si>
    <t>Growth ratio</t>
  </si>
  <si>
    <t>Total inventory</t>
  </si>
  <si>
    <t>Divident payment</t>
  </si>
  <si>
    <t>EPS</t>
  </si>
  <si>
    <t>Number of employees</t>
  </si>
  <si>
    <t>Net plant, property and equipment</t>
  </si>
  <si>
    <t>Firm age</t>
  </si>
  <si>
    <t>CTCP Đầu tư MST</t>
  </si>
  <si>
    <t>MST</t>
  </si>
  <si>
    <t>Xây dựng và Vật liệu</t>
  </si>
  <si>
    <t>NaN</t>
  </si>
  <si>
    <t>CTCP Đầu tư Hạ tầng Kỹ thuật Thành phố Hồ Chí Minh</t>
  </si>
  <si>
    <t>CII</t>
  </si>
  <si>
    <t>Tổng CTCP Khoan và Dịch vụ Khoan Dầu khí</t>
  </si>
  <si>
    <t>PVD</t>
  </si>
  <si>
    <t>Dầu khí</t>
  </si>
  <si>
    <t>CTCP Đầu tư hạ tầng giao thông Đèo Cả</t>
  </si>
  <si>
    <t>HHV</t>
  </si>
  <si>
    <t>CTCP Đầu tư Dịch vụ Hoàng Huy</t>
  </si>
  <si>
    <t>HHS</t>
  </si>
  <si>
    <t>Ô tô và phụ tùng</t>
  </si>
  <si>
    <t>CTCP Lizen</t>
  </si>
  <si>
    <t>LCG</t>
  </si>
  <si>
    <t>CTCP Gemadept</t>
  </si>
  <si>
    <t>GMD</t>
  </si>
  <si>
    <t>Marine Transportation</t>
  </si>
  <si>
    <t>CTCP Vận tải và Xếp dỡ Hải An</t>
  </si>
  <si>
    <t>HAH</t>
  </si>
  <si>
    <t>Dệt may Thành Công</t>
  </si>
  <si>
    <t>TCM</t>
  </si>
  <si>
    <t>Hàng cá nhân &amp; Gia dụng</t>
  </si>
  <si>
    <t>CTCP Vận tải biển Việt Nam</t>
  </si>
  <si>
    <t>VOS</t>
  </si>
  <si>
    <t>Hàng &amp; Dịch vụ Công nghiệp</t>
  </si>
  <si>
    <t>Index</t>
  </si>
  <si>
    <t>Ghi chú</t>
  </si>
  <si>
    <t>Fraction of share owned by BOD/manager</t>
  </si>
  <si>
    <t>FiinPro, Vietstock, public sources</t>
  </si>
  <si>
    <t>Fraction of share owned by the government</t>
  </si>
  <si>
    <t>Fraction of share owned by domestic institutional investors</t>
  </si>
  <si>
    <t>Fraction of share owned by foreign investors</t>
  </si>
  <si>
    <t>Total number of shares issued by the company</t>
  </si>
  <si>
    <t>FiinPro, Vietstock, BCTC phần equity</t>
  </si>
  <si>
    <t>Total sales revenue and Net sales revenue</t>
  </si>
  <si>
    <t>Doanh thu trong nam cua doanh nghiep/Doanh thu thuan</t>
  </si>
  <si>
    <t>Profit and Loss statement, Note BCTC</t>
  </si>
  <si>
    <t>Gia tri so sach cua tong tai san</t>
  </si>
  <si>
    <t>Balance sheet</t>
  </si>
  <si>
    <t>Chi phi ban hang cua doanh nghiep</t>
  </si>
  <si>
    <t>Note BCTC</t>
  </si>
  <si>
    <t xml:space="preserve">General and administrative expenditure </t>
  </si>
  <si>
    <t>Chi phi quan tri cua doanh nghiep</t>
  </si>
  <si>
    <t>Gia tri so sach cua tai san vo hinh</t>
  </si>
  <si>
    <t>Balance sheet/Note BCTC</t>
  </si>
  <si>
    <t xml:space="preserve">Total factory costs – Direct materials – Direct labor </t>
  </si>
  <si>
    <t>Income generated from operating activites before tax and depreciation</t>
  </si>
  <si>
    <t>Profit and Loss statement</t>
  </si>
  <si>
    <t>Chi phi nguyen vat lieu su dung trong san xuat</t>
  </si>
  <si>
    <t>Note BCTC (production cost)</t>
  </si>
  <si>
    <t>Hang hoa da mua trong nam</t>
  </si>
  <si>
    <t>Note BCTC (inventory)</t>
  </si>
  <si>
    <t>Hang hoa da mua con dang do</t>
  </si>
  <si>
    <t>Chi phí gia công/thuê sản xuất bên ngoài</t>
  </si>
  <si>
    <t>Tong chi phi san xuat (SUM ca 5 yeu to material + staff + outside service+other+depreciation)</t>
  </si>
  <si>
    <t>Note BCTC trong phần production cost by element</t>
  </si>
  <si>
    <t>R&amp;D expenditure</t>
  </si>
  <si>
    <t>Chi phi nghien cuu va phat trien</t>
  </si>
  <si>
    <t>World Bank</t>
  </si>
  <si>
    <t>Doanh nghiep co cong bo san pham moi hay khong (dummy 0/1)</t>
  </si>
  <si>
    <t>Doanh nghiep co quy trinh san xuat moi hay khong (dummy 0/1)</t>
  </si>
  <si>
    <t>Loi nhuan thuan tu hoat dong kinh doanh</t>
  </si>
  <si>
    <t>Gia tri so sach cua von chu so huu</t>
  </si>
  <si>
    <t>Share market price * number of share outstanding: gia thi truong cua von chu so huu</t>
  </si>
  <si>
    <t>FiinPro, Vietstock, public sources (chỉ số tài chính)</t>
  </si>
  <si>
    <t>Tong no cua doanh nghiep trong nam</t>
  </si>
  <si>
    <t>Dong tien tu hoat dong kinh doanh</t>
  </si>
  <si>
    <t>Cash flow statement</t>
  </si>
  <si>
    <t>chi phí vốn hoặc chi phí tài sản cố định</t>
  </si>
  <si>
    <t>Note BCTC, Balance sheet</t>
  </si>
  <si>
    <t>dong tien tu hoat dong dau tu tai san dai han</t>
  </si>
  <si>
    <t>Tien va gia tri tuong duong tien</t>
  </si>
  <si>
    <t>Balance sheet/Cash flow statement</t>
  </si>
  <si>
    <t>No dai han cua doanh nghiep (&gt;1 nam)</t>
  </si>
  <si>
    <t>Tai san ngan han</t>
  </si>
  <si>
    <t>Current liabiltiies</t>
  </si>
  <si>
    <t>No ngan han</t>
  </si>
  <si>
    <t>Chi so tang truong so voi nam ngoai</t>
  </si>
  <si>
    <t>Tong gia tri hang hoa cua doanh nghiep (nam trong tai san ngan han)</t>
  </si>
  <si>
    <t>Co tuc duoc chia cho co dong</t>
  </si>
  <si>
    <t>Cashflow, balance sheet, Note BCTC</t>
  </si>
  <si>
    <t>Loi nhuan tren moi co phieu</t>
  </si>
  <si>
    <t>So luong nhan vien cua doanh nghiep</t>
  </si>
  <si>
    <t xml:space="preserve">Annual report, public sources </t>
  </si>
  <si>
    <t>Trang thiet bi may moc cua doanh nghiep</t>
  </si>
  <si>
    <t>So nam ke tu khi doanh nghiep thanh lap</t>
  </si>
  <si>
    <r>
      <rPr>
        <b/>
        <sz val="14"/>
        <color theme="4"/>
        <rFont val="Times New Roman"/>
      </rPr>
      <t>Phần mềm phân tích</t>
    </r>
    <r>
      <rPr>
        <b/>
        <sz val="12"/>
        <color theme="1"/>
        <rFont val="Times New Roman"/>
      </rPr>
      <t xml:space="preserve">: </t>
    </r>
    <r>
      <rPr>
        <b/>
        <sz val="14"/>
        <color theme="1"/>
        <rFont val="Times New Roman"/>
      </rPr>
      <t>PLS or AMOS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</si>
</sst>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2" x14ac:knownFonts="1">
    <font>
      <sz val="12"/>
      <color theme="1"/>
      <name val="Times New Roman"/>
      <scheme val="minor"/>
    </font>
    <font>
      <sz val="12"/>
      <color theme="1"/>
      <name val="Times New Roman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name val="Times New Roman"/>
    </font>
    <font>
      <b/>
      <sz val="14"/>
      <color theme="4"/>
      <name val="Times New Roman"/>
    </font>
    <font>
      <b/>
      <sz val="14"/>
      <color theme="1"/>
      <name val="Times New Roman"/>
    </font>
    <font>
      <b/>
      <sz val="12"/>
      <color theme="4"/>
      <name val="Times New Roman"/>
      <family val="1"/>
      <scheme val="minor"/>
    </font>
    <font>
      <sz val="12"/>
      <color theme="1"/>
      <name val="Times New Roman"/>
      <family val="1"/>
      <scheme val="minor"/>
    </font>
    <font>
      <b/>
      <sz val="12"/>
      <color theme="1"/>
      <name val="Times New Roman"/>
      <family val="1"/>
      <scheme val="minor"/>
    </font>
    <font>
      <sz val="12"/>
      <color rgb="FF000000"/>
      <name val="Times New Roman"/>
      <family val="1"/>
      <scheme val="minor"/>
    </font>
    <font>
      <sz val="12"/>
      <color rgb="FF1F1F1F"/>
      <name val="Times New Roman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4" borderId="5" xfId="0" applyFont="1" applyFill="1" applyBorder="1" applyAlignment="1">
      <alignment horizontal="left"/>
    </xf>
    <xf numFmtId="0" fontId="3" fillId="0" borderId="6" xfId="0" applyFont="1" applyBorder="1"/>
    <xf numFmtId="0" fontId="3" fillId="0" borderId="1" xfId="0" applyFont="1" applyBorder="1"/>
    <xf numFmtId="0" fontId="2" fillId="4" borderId="1" xfId="0" applyFont="1" applyFill="1" applyBorder="1" applyAlignment="1">
      <alignment horizontal="left"/>
    </xf>
    <xf numFmtId="0" fontId="2" fillId="4" borderId="7" xfId="0" applyFont="1" applyFill="1" applyBorder="1"/>
    <xf numFmtId="0" fontId="2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/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2" fillId="0" borderId="2" xfId="0" applyFont="1" applyBorder="1" applyAlignment="1">
      <alignment horizontal="left"/>
    </xf>
    <xf numFmtId="0" fontId="7" fillId="0" borderId="0" xfId="0" applyFont="1" applyAlignment="1">
      <alignment horizontal="left" wrapText="1"/>
    </xf>
    <xf numFmtId="0" fontId="8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9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164" fontId="8" fillId="3" borderId="1" xfId="0" applyNumberFormat="1" applyFont="1" applyFill="1" applyBorder="1" applyAlignment="1">
      <alignment wrapText="1"/>
    </xf>
    <xf numFmtId="164" fontId="8" fillId="3" borderId="1" xfId="0" applyNumberFormat="1" applyFont="1" applyFill="1" applyBorder="1" applyAlignment="1">
      <alignment horizontal="right" wrapText="1"/>
    </xf>
    <xf numFmtId="0" fontId="8" fillId="3" borderId="1" xfId="0" applyFont="1" applyFill="1" applyBorder="1" applyAlignment="1">
      <alignment horizontal="right" wrapText="1"/>
    </xf>
    <xf numFmtId="0" fontId="8" fillId="2" borderId="1" xfId="0" applyFont="1" applyFill="1" applyBorder="1" applyAlignment="1">
      <alignment wrapText="1"/>
    </xf>
    <xf numFmtId="164" fontId="8" fillId="2" borderId="1" xfId="0" applyNumberFormat="1" applyFont="1" applyFill="1" applyBorder="1" applyAlignment="1">
      <alignment wrapText="1"/>
    </xf>
    <xf numFmtId="0" fontId="8" fillId="2" borderId="1" xfId="0" applyFont="1" applyFill="1" applyBorder="1" applyAlignment="1">
      <alignment horizontal="right" wrapText="1"/>
    </xf>
    <xf numFmtId="0" fontId="8" fillId="3" borderId="1" xfId="0" applyFont="1" applyFill="1" applyBorder="1"/>
    <xf numFmtId="164" fontId="8" fillId="3" borderId="1" xfId="0" applyNumberFormat="1" applyFont="1" applyFill="1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1" fontId="8" fillId="3" borderId="1" xfId="0" applyNumberFormat="1" applyFont="1" applyFill="1" applyBorder="1" applyAlignment="1">
      <alignment horizontal="right"/>
    </xf>
    <xf numFmtId="0" fontId="11" fillId="3" borderId="1" xfId="0" applyFont="1" applyFill="1" applyBorder="1" applyAlignment="1">
      <alignment horizontal="right"/>
    </xf>
    <xf numFmtId="164" fontId="11" fillId="3" borderId="1" xfId="0" applyNumberFormat="1" applyFont="1" applyFill="1" applyBorder="1" applyAlignment="1">
      <alignment horizontal="right"/>
    </xf>
    <xf numFmtId="0" fontId="8" fillId="3" borderId="0" xfId="0" applyFont="1" applyFill="1" applyAlignment="1">
      <alignment horizontal="right"/>
    </xf>
    <xf numFmtId="0" fontId="8" fillId="2" borderId="1" xfId="0" applyFont="1" applyFill="1" applyBorder="1"/>
    <xf numFmtId="164" fontId="11" fillId="2" borderId="0" xfId="0" applyNumberFormat="1" applyFont="1" applyFill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1" fontId="8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0" fontId="10" fillId="3" borderId="1" xfId="0" applyFont="1" applyFill="1" applyBorder="1" applyAlignment="1">
      <alignment wrapText="1"/>
    </xf>
    <xf numFmtId="0" fontId="10" fillId="3" borderId="1" xfId="0" applyFont="1" applyFill="1" applyBorder="1"/>
    <xf numFmtId="0" fontId="10" fillId="0" borderId="1" xfId="0" applyFont="1" applyBorder="1"/>
    <xf numFmtId="164" fontId="10" fillId="0" borderId="1" xfId="0" applyNumberFormat="1" applyFont="1" applyBorder="1" applyAlignment="1">
      <alignment horizontal="right"/>
    </xf>
    <xf numFmtId="1" fontId="10" fillId="0" borderId="0" xfId="0" applyNumberFormat="1" applyFont="1" applyAlignment="1">
      <alignment horizontal="right"/>
    </xf>
    <xf numFmtId="1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0" fillId="3" borderId="1" xfId="0" applyFont="1" applyFill="1" applyBorder="1" applyAlignment="1">
      <alignment horizontal="right" wrapText="1"/>
    </xf>
    <xf numFmtId="164" fontId="10" fillId="3" borderId="1" xfId="0" applyNumberFormat="1" applyFont="1" applyFill="1" applyBorder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2" borderId="1" xfId="0" applyFont="1" applyFill="1" applyBorder="1" applyAlignment="1">
      <alignment wrapText="1"/>
    </xf>
    <xf numFmtId="0" fontId="10" fillId="2" borderId="1" xfId="0" applyFont="1" applyFill="1" applyBorder="1"/>
    <xf numFmtId="164" fontId="10" fillId="2" borderId="1" xfId="0" applyNumberFormat="1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right"/>
    </xf>
    <xf numFmtId="164" fontId="10" fillId="2" borderId="1" xfId="0" applyNumberFormat="1" applyFont="1" applyFill="1" applyBorder="1" applyAlignment="1">
      <alignment wrapText="1"/>
    </xf>
    <xf numFmtId="164" fontId="10" fillId="2" borderId="0" xfId="0" applyNumberFormat="1" applyFont="1" applyFill="1" applyAlignment="1">
      <alignment horizontal="right"/>
    </xf>
    <xf numFmtId="3" fontId="10" fillId="2" borderId="1" xfId="0" applyNumberFormat="1" applyFont="1" applyFill="1" applyBorder="1" applyAlignment="1">
      <alignment horizontal="right"/>
    </xf>
    <xf numFmtId="0" fontId="10" fillId="2" borderId="0" xfId="0" applyFont="1" applyFill="1" applyAlignment="1">
      <alignment horizontal="right"/>
    </xf>
    <xf numFmtId="1" fontId="8" fillId="3" borderId="1" xfId="0" applyNumberFormat="1" applyFont="1" applyFill="1" applyBorder="1" applyAlignment="1">
      <alignment wrapText="1"/>
    </xf>
    <xf numFmtId="1" fontId="8" fillId="2" borderId="1" xfId="0" applyNumberFormat="1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164" fontId="8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99"/>
  <sheetViews>
    <sheetView tabSelected="1" topLeftCell="N1" workbookViewId="0">
      <pane ySplit="2" topLeftCell="A3" activePane="bottomLeft" state="frozen"/>
      <selection pane="bottomLeft" activeCell="C9" sqref="C9"/>
    </sheetView>
  </sheetViews>
  <sheetFormatPr defaultColWidth="11.2109375" defaultRowHeight="15" customHeight="1" x14ac:dyDescent="0.4"/>
  <cols>
    <col min="1" max="1" width="5.35546875" customWidth="1"/>
    <col min="2" max="2" width="42.78515625" customWidth="1"/>
    <col min="3" max="3" width="10.5703125" customWidth="1"/>
    <col min="4" max="4" width="9.5703125" customWidth="1"/>
    <col min="5" max="5" width="22.42578125" customWidth="1"/>
    <col min="6" max="6" width="26.140625" customWidth="1"/>
    <col min="7" max="7" width="14.42578125" customWidth="1"/>
    <col min="8" max="8" width="20.78515625" customWidth="1"/>
    <col min="9" max="9" width="17" customWidth="1"/>
    <col min="10" max="11" width="21.140625" customWidth="1"/>
    <col min="12" max="12" width="17.5703125" customWidth="1"/>
    <col min="13" max="13" width="16.42578125" customWidth="1"/>
    <col min="14" max="14" width="18.140625" customWidth="1"/>
    <col min="15" max="15" width="14.2109375" customWidth="1"/>
    <col min="16" max="16" width="21.140625" customWidth="1"/>
    <col min="17" max="17" width="15.35546875" customWidth="1"/>
    <col min="18" max="18" width="19.42578125" customWidth="1"/>
    <col min="19" max="19" width="14.85546875" customWidth="1"/>
    <col min="20" max="20" width="17.35546875" customWidth="1"/>
    <col min="21" max="21" width="16.640625" customWidth="1"/>
    <col min="22" max="22" width="21.2109375" customWidth="1"/>
    <col min="23" max="23" width="19.640625" customWidth="1"/>
    <col min="24" max="24" width="8.640625" customWidth="1"/>
    <col min="25" max="25" width="15.35546875" customWidth="1"/>
    <col min="26" max="26" width="17.140625" customWidth="1"/>
    <col min="27" max="28" width="19.42578125" customWidth="1"/>
    <col min="29" max="29" width="26.140625" customWidth="1"/>
    <col min="30" max="30" width="31.140625" customWidth="1"/>
    <col min="31" max="33" width="31.42578125" customWidth="1"/>
    <col min="34" max="35" width="20.640625" customWidth="1"/>
    <col min="36" max="36" width="14.42578125" customWidth="1"/>
    <col min="37" max="37" width="16.85546875" customWidth="1"/>
    <col min="38" max="38" width="16.5703125" customWidth="1"/>
    <col min="39" max="39" width="14.78515625" customWidth="1"/>
    <col min="40" max="40" width="15.42578125" customWidth="1"/>
    <col min="41" max="41" width="14.2109375" customWidth="1"/>
    <col min="42" max="42" width="8.5703125" customWidth="1"/>
    <col min="43" max="43" width="15.140625" customWidth="1"/>
    <col min="44" max="44" width="17" customWidth="1"/>
    <col min="45" max="47" width="8.5703125" customWidth="1"/>
  </cols>
  <sheetData>
    <row r="1" spans="1:47" ht="15" customHeight="1" x14ac:dyDescent="0.4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3"/>
      <c r="V1" s="23"/>
      <c r="W1" s="23"/>
      <c r="X1" s="23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1"/>
      <c r="AU1" s="1"/>
    </row>
    <row r="2" spans="1:47" ht="15" customHeight="1" x14ac:dyDescent="0.4">
      <c r="A2" s="25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5" t="s">
        <v>6</v>
      </c>
      <c r="G2" s="25" t="s">
        <v>7</v>
      </c>
      <c r="H2" s="25" t="s">
        <v>8</v>
      </c>
      <c r="I2" s="25" t="s">
        <v>9</v>
      </c>
      <c r="J2" s="25" t="s">
        <v>10</v>
      </c>
      <c r="K2" s="25" t="s">
        <v>11</v>
      </c>
      <c r="L2" s="25" t="s">
        <v>12</v>
      </c>
      <c r="M2" s="25" t="s">
        <v>13</v>
      </c>
      <c r="N2" s="25" t="s">
        <v>14</v>
      </c>
      <c r="O2" s="25" t="s">
        <v>15</v>
      </c>
      <c r="P2" s="25" t="s">
        <v>16</v>
      </c>
      <c r="Q2" s="25" t="s">
        <v>17</v>
      </c>
      <c r="R2" s="25" t="s">
        <v>18</v>
      </c>
      <c r="S2" s="25" t="s">
        <v>19</v>
      </c>
      <c r="T2" s="25" t="s">
        <v>20</v>
      </c>
      <c r="U2" s="25" t="s">
        <v>21</v>
      </c>
      <c r="V2" s="25" t="s">
        <v>22</v>
      </c>
      <c r="W2" s="25" t="s">
        <v>23</v>
      </c>
      <c r="X2" s="25" t="s">
        <v>24</v>
      </c>
      <c r="Y2" s="25" t="s">
        <v>25</v>
      </c>
      <c r="Z2" s="25" t="s">
        <v>26</v>
      </c>
      <c r="AA2" s="25" t="s">
        <v>27</v>
      </c>
      <c r="AB2" s="25" t="s">
        <v>28</v>
      </c>
      <c r="AC2" s="25" t="s">
        <v>29</v>
      </c>
      <c r="AD2" s="25" t="s">
        <v>30</v>
      </c>
      <c r="AE2" s="25" t="s">
        <v>31</v>
      </c>
      <c r="AF2" s="25" t="s">
        <v>32</v>
      </c>
      <c r="AG2" s="25" t="s">
        <v>33</v>
      </c>
      <c r="AH2" s="25" t="s">
        <v>34</v>
      </c>
      <c r="AI2" s="25" t="s">
        <v>35</v>
      </c>
      <c r="AJ2" s="25" t="s">
        <v>36</v>
      </c>
      <c r="AK2" s="25" t="s">
        <v>37</v>
      </c>
      <c r="AL2" s="25" t="s">
        <v>38</v>
      </c>
      <c r="AM2" s="25" t="s">
        <v>39</v>
      </c>
      <c r="AN2" s="25" t="s">
        <v>40</v>
      </c>
      <c r="AO2" s="25" t="s">
        <v>41</v>
      </c>
      <c r="AP2" s="25" t="s">
        <v>42</v>
      </c>
      <c r="AQ2" s="25" t="s">
        <v>43</v>
      </c>
      <c r="AR2" s="25" t="s">
        <v>44</v>
      </c>
      <c r="AS2" s="25" t="s">
        <v>45</v>
      </c>
      <c r="AT2" s="2"/>
      <c r="AU2" s="2"/>
    </row>
    <row r="3" spans="1:47" ht="15" customHeight="1" x14ac:dyDescent="0.4">
      <c r="A3" s="26">
        <v>1</v>
      </c>
      <c r="B3" s="27" t="s">
        <v>46</v>
      </c>
      <c r="C3" s="26" t="s">
        <v>47</v>
      </c>
      <c r="D3" s="26">
        <v>2020</v>
      </c>
      <c r="E3" s="26" t="s">
        <v>48</v>
      </c>
      <c r="F3" s="28">
        <v>0.223804</v>
      </c>
      <c r="G3" s="29" t="s">
        <v>49</v>
      </c>
      <c r="H3" s="28">
        <v>1.15E-3</v>
      </c>
      <c r="I3" s="28">
        <v>1.8240000000000001E-3</v>
      </c>
      <c r="J3" s="26">
        <v>35519986</v>
      </c>
      <c r="K3" s="26">
        <v>344246583091</v>
      </c>
      <c r="L3" s="26">
        <v>344246583091</v>
      </c>
      <c r="M3" s="26">
        <v>1578937915811</v>
      </c>
      <c r="N3" s="26">
        <v>66000000</v>
      </c>
      <c r="O3" s="26">
        <v>15388729995</v>
      </c>
      <c r="P3" s="30" t="s">
        <v>49</v>
      </c>
      <c r="Q3" s="26">
        <v>315191490518</v>
      </c>
      <c r="R3" s="26">
        <v>32034490610</v>
      </c>
      <c r="S3" s="26">
        <v>1130969478</v>
      </c>
      <c r="T3" s="26">
        <v>338715082712</v>
      </c>
      <c r="U3" s="30">
        <v>97639780642</v>
      </c>
      <c r="V3" s="26">
        <v>321014506468</v>
      </c>
      <c r="W3" s="26">
        <v>336760281496</v>
      </c>
      <c r="X3" s="30" t="s">
        <v>49</v>
      </c>
      <c r="Y3" s="26">
        <v>0</v>
      </c>
      <c r="Z3" s="26">
        <v>0</v>
      </c>
      <c r="AA3" s="26">
        <v>27503875723</v>
      </c>
      <c r="AB3" s="26">
        <v>5560</v>
      </c>
      <c r="AC3" s="26">
        <v>511755127116</v>
      </c>
      <c r="AD3" s="26">
        <f t="shared" ref="AD3:AD52" si="0">J3*AB3</f>
        <v>197491122160</v>
      </c>
      <c r="AE3" s="26">
        <v>1067182788695</v>
      </c>
      <c r="AF3" s="26">
        <v>-703897910181</v>
      </c>
      <c r="AG3" s="26">
        <v>4288300000</v>
      </c>
      <c r="AH3" s="26">
        <v>4047007513</v>
      </c>
      <c r="AI3" s="26">
        <v>6534730372</v>
      </c>
      <c r="AJ3" s="26">
        <v>2061047598</v>
      </c>
      <c r="AK3" s="26">
        <v>996690723567</v>
      </c>
      <c r="AL3" s="26">
        <v>1064421060405</v>
      </c>
      <c r="AM3" s="28">
        <v>1.955025</v>
      </c>
      <c r="AN3" s="26">
        <v>111543175891</v>
      </c>
      <c r="AO3" s="26">
        <v>0</v>
      </c>
      <c r="AP3" s="26">
        <v>757</v>
      </c>
      <c r="AQ3" s="26">
        <v>32</v>
      </c>
      <c r="AR3" s="26">
        <v>6092143948</v>
      </c>
      <c r="AS3" s="26">
        <v>12</v>
      </c>
      <c r="AT3" s="3"/>
      <c r="AU3" s="3"/>
    </row>
    <row r="4" spans="1:47" ht="15" customHeight="1" x14ac:dyDescent="0.4">
      <c r="A4" s="26">
        <v>1</v>
      </c>
      <c r="B4" s="27" t="s">
        <v>46</v>
      </c>
      <c r="C4" s="26" t="s">
        <v>47</v>
      </c>
      <c r="D4" s="26">
        <v>2021</v>
      </c>
      <c r="E4" s="26" t="s">
        <v>48</v>
      </c>
      <c r="F4" s="28">
        <v>3.5492999999999997E-2</v>
      </c>
      <c r="G4" s="29" t="s">
        <v>49</v>
      </c>
      <c r="H4" s="28">
        <v>1.0625000000000001E-2</v>
      </c>
      <c r="I4" s="28">
        <v>6.0599999999999998E-4</v>
      </c>
      <c r="J4" s="26">
        <v>68140691</v>
      </c>
      <c r="K4" s="26">
        <v>465276910442</v>
      </c>
      <c r="L4" s="26">
        <v>465276910442</v>
      </c>
      <c r="M4" s="26">
        <v>1774003517126</v>
      </c>
      <c r="N4" s="26">
        <v>0</v>
      </c>
      <c r="O4" s="26">
        <v>21160994336</v>
      </c>
      <c r="P4" s="30" t="s">
        <v>49</v>
      </c>
      <c r="Q4" s="26">
        <v>403058020763</v>
      </c>
      <c r="R4" s="26">
        <v>86056465526</v>
      </c>
      <c r="S4" s="26">
        <v>5963775278</v>
      </c>
      <c r="T4" s="26">
        <v>344109221309</v>
      </c>
      <c r="U4" s="30">
        <v>25480940602</v>
      </c>
      <c r="V4" s="26">
        <v>302209466412</v>
      </c>
      <c r="W4" s="26">
        <v>330944856560</v>
      </c>
      <c r="X4" s="30" t="s">
        <v>49</v>
      </c>
      <c r="Y4" s="26">
        <v>0</v>
      </c>
      <c r="Z4" s="26">
        <v>0</v>
      </c>
      <c r="AA4" s="26">
        <v>76900698314</v>
      </c>
      <c r="AB4" s="26">
        <v>15320</v>
      </c>
      <c r="AC4" s="26">
        <v>837610799050</v>
      </c>
      <c r="AD4" s="26">
        <f t="shared" si="0"/>
        <v>1043915386120</v>
      </c>
      <c r="AE4" s="26">
        <v>936392718076</v>
      </c>
      <c r="AF4" s="26">
        <v>250853482363</v>
      </c>
      <c r="AG4" s="26">
        <v>8584229091</v>
      </c>
      <c r="AH4" s="26">
        <v>-126025530135</v>
      </c>
      <c r="AI4" s="26">
        <v>27952161919</v>
      </c>
      <c r="AJ4" s="26">
        <v>3065666026</v>
      </c>
      <c r="AK4" s="26">
        <v>1038054597727</v>
      </c>
      <c r="AL4" s="26">
        <v>933318778328</v>
      </c>
      <c r="AM4" s="28">
        <v>1.795995</v>
      </c>
      <c r="AN4" s="26">
        <v>52594376437</v>
      </c>
      <c r="AO4" s="26">
        <v>12447026380</v>
      </c>
      <c r="AP4" s="26">
        <v>1288</v>
      </c>
      <c r="AQ4" s="26">
        <v>32</v>
      </c>
      <c r="AR4" s="26">
        <v>13006839945</v>
      </c>
      <c r="AS4" s="26">
        <v>13</v>
      </c>
      <c r="AT4" s="3"/>
      <c r="AU4" s="3"/>
    </row>
    <row r="5" spans="1:47" ht="15" customHeight="1" x14ac:dyDescent="0.4">
      <c r="A5" s="26">
        <v>1</v>
      </c>
      <c r="B5" s="27" t="s">
        <v>46</v>
      </c>
      <c r="C5" s="26" t="s">
        <v>47</v>
      </c>
      <c r="D5" s="26">
        <v>2022</v>
      </c>
      <c r="E5" s="26" t="s">
        <v>48</v>
      </c>
      <c r="F5" s="28">
        <v>3.5492999999999997E-2</v>
      </c>
      <c r="G5" s="29" t="s">
        <v>49</v>
      </c>
      <c r="H5" s="28">
        <v>2.4346E-2</v>
      </c>
      <c r="I5" s="28">
        <v>2.2550000000000001E-3</v>
      </c>
      <c r="J5" s="26">
        <v>68140691</v>
      </c>
      <c r="K5" s="26">
        <v>374831981352</v>
      </c>
      <c r="L5" s="26">
        <v>374831981352</v>
      </c>
      <c r="M5" s="26">
        <v>1301535457598</v>
      </c>
      <c r="N5" s="26">
        <v>0</v>
      </c>
      <c r="O5" s="26">
        <v>13627040766</v>
      </c>
      <c r="P5" s="30" t="s">
        <v>49</v>
      </c>
      <c r="Q5" s="26">
        <v>342179784888</v>
      </c>
      <c r="R5" s="26">
        <v>81207314222</v>
      </c>
      <c r="S5" s="26">
        <v>8623622095</v>
      </c>
      <c r="T5" s="26">
        <v>310096394367</v>
      </c>
      <c r="U5" s="30">
        <v>2166973029</v>
      </c>
      <c r="V5" s="26">
        <v>255671723606</v>
      </c>
      <c r="W5" s="26">
        <v>271182996020</v>
      </c>
      <c r="X5" s="30" t="s">
        <v>49</v>
      </c>
      <c r="Y5" s="26">
        <v>0</v>
      </c>
      <c r="Z5" s="26">
        <v>0</v>
      </c>
      <c r="AA5" s="26">
        <v>72364862636</v>
      </c>
      <c r="AB5" s="26">
        <v>3290</v>
      </c>
      <c r="AC5" s="26">
        <v>834050505136</v>
      </c>
      <c r="AD5" s="26">
        <f t="shared" si="0"/>
        <v>224182873390</v>
      </c>
      <c r="AE5" s="26">
        <v>467484952462</v>
      </c>
      <c r="AF5" s="26">
        <v>184209458570</v>
      </c>
      <c r="AG5" s="26">
        <v>3682320000</v>
      </c>
      <c r="AH5" s="26">
        <v>-101583723320</v>
      </c>
      <c r="AI5" s="26">
        <v>3563758822</v>
      </c>
      <c r="AJ5" s="26">
        <v>1139063503</v>
      </c>
      <c r="AK5" s="26">
        <v>291161338673</v>
      </c>
      <c r="AL5" s="26">
        <v>466345888959</v>
      </c>
      <c r="AM5" s="28">
        <v>-5.8983000000000001E-2</v>
      </c>
      <c r="AN5" s="26">
        <v>20510985916</v>
      </c>
      <c r="AO5" s="26">
        <v>0</v>
      </c>
      <c r="AP5" s="26">
        <v>1061</v>
      </c>
      <c r="AQ5" s="26">
        <v>26</v>
      </c>
      <c r="AR5" s="26">
        <v>4212781911</v>
      </c>
      <c r="AS5" s="26">
        <v>14</v>
      </c>
      <c r="AT5" s="3"/>
      <c r="AU5" s="3"/>
    </row>
    <row r="6" spans="1:47" ht="15" customHeight="1" x14ac:dyDescent="0.4">
      <c r="A6" s="26">
        <v>1</v>
      </c>
      <c r="B6" s="27" t="s">
        <v>46</v>
      </c>
      <c r="C6" s="26" t="s">
        <v>47</v>
      </c>
      <c r="D6" s="26">
        <v>2023</v>
      </c>
      <c r="E6" s="26" t="s">
        <v>48</v>
      </c>
      <c r="F6" s="28">
        <v>4.6682000000000001E-2</v>
      </c>
      <c r="G6" s="29" t="s">
        <v>49</v>
      </c>
      <c r="H6" s="28">
        <v>1.3440000000000001E-2</v>
      </c>
      <c r="I6" s="28">
        <v>5.3020000000000003E-3</v>
      </c>
      <c r="J6" s="26">
        <v>76004301</v>
      </c>
      <c r="K6" s="26">
        <v>1207223328653</v>
      </c>
      <c r="L6" s="26">
        <v>1207223328653</v>
      </c>
      <c r="M6" s="26">
        <v>1218961956624</v>
      </c>
      <c r="N6" s="26">
        <v>0</v>
      </c>
      <c r="O6" s="26">
        <v>31879604565</v>
      </c>
      <c r="P6" s="30" t="s">
        <v>49</v>
      </c>
      <c r="Q6" s="26">
        <v>1201211246936</v>
      </c>
      <c r="R6" s="26">
        <v>-38352420929</v>
      </c>
      <c r="S6" s="30" t="s">
        <v>49</v>
      </c>
      <c r="T6" s="26">
        <v>1186923989026</v>
      </c>
      <c r="U6" s="30">
        <v>19971886</v>
      </c>
      <c r="V6" s="30" t="s">
        <v>49</v>
      </c>
      <c r="W6" s="30" t="s">
        <v>49</v>
      </c>
      <c r="X6" s="30" t="s">
        <v>49</v>
      </c>
      <c r="Y6" s="26">
        <v>0</v>
      </c>
      <c r="Z6" s="26">
        <v>0</v>
      </c>
      <c r="AA6" s="26">
        <v>68295218300</v>
      </c>
      <c r="AB6" s="26">
        <v>5560</v>
      </c>
      <c r="AC6" s="26">
        <v>831845085624</v>
      </c>
      <c r="AD6" s="26">
        <f t="shared" si="0"/>
        <v>422583913560</v>
      </c>
      <c r="AE6" s="26">
        <v>387116871000</v>
      </c>
      <c r="AF6" s="26">
        <v>54393323359</v>
      </c>
      <c r="AG6" s="26">
        <v>0</v>
      </c>
      <c r="AH6" s="26">
        <v>13938820652</v>
      </c>
      <c r="AI6" s="26">
        <v>1622802579</v>
      </c>
      <c r="AJ6" s="26">
        <v>120317749034</v>
      </c>
      <c r="AK6" s="26">
        <v>203326790310</v>
      </c>
      <c r="AL6" s="26">
        <v>266799121966</v>
      </c>
      <c r="AM6" s="28">
        <v>-5.6238000000000003E-2</v>
      </c>
      <c r="AN6" s="26">
        <v>6223728006</v>
      </c>
      <c r="AO6" s="26">
        <v>0</v>
      </c>
      <c r="AP6" s="26">
        <v>955.3</v>
      </c>
      <c r="AQ6" s="26">
        <v>15</v>
      </c>
      <c r="AR6" s="26">
        <v>712455423</v>
      </c>
      <c r="AS6" s="26">
        <v>15</v>
      </c>
      <c r="AT6" s="3"/>
      <c r="AU6" s="3"/>
    </row>
    <row r="7" spans="1:47" ht="15" customHeight="1" x14ac:dyDescent="0.4">
      <c r="A7" s="26">
        <v>1</v>
      </c>
      <c r="B7" s="27" t="s">
        <v>46</v>
      </c>
      <c r="C7" s="26" t="s">
        <v>47</v>
      </c>
      <c r="D7" s="26">
        <v>2024</v>
      </c>
      <c r="E7" s="26" t="s">
        <v>48</v>
      </c>
      <c r="F7" s="28">
        <v>4.6682000000000001E-2</v>
      </c>
      <c r="G7" s="29" t="s">
        <v>49</v>
      </c>
      <c r="H7" s="28">
        <v>1.2099E-2</v>
      </c>
      <c r="I7" s="28">
        <v>6.169E-3</v>
      </c>
      <c r="J7" s="26">
        <v>76004301</v>
      </c>
      <c r="K7" s="26">
        <v>1273890610665</v>
      </c>
      <c r="L7" s="26">
        <v>1273890610665</v>
      </c>
      <c r="M7" s="26">
        <v>1750574054602</v>
      </c>
      <c r="N7" s="26">
        <v>0</v>
      </c>
      <c r="O7" s="26">
        <v>4861351773</v>
      </c>
      <c r="P7" s="30" t="s">
        <v>49</v>
      </c>
      <c r="Q7" s="26">
        <v>1246633671168</v>
      </c>
      <c r="R7" s="26">
        <v>22988184976</v>
      </c>
      <c r="S7" s="30" t="s">
        <v>49</v>
      </c>
      <c r="T7" s="26">
        <v>1241837827485</v>
      </c>
      <c r="U7" s="30">
        <v>1427884323</v>
      </c>
      <c r="V7" s="30" t="s">
        <v>49</v>
      </c>
      <c r="W7" s="30" t="s">
        <v>49</v>
      </c>
      <c r="X7" s="30" t="s">
        <v>49</v>
      </c>
      <c r="Y7" s="26">
        <v>0</v>
      </c>
      <c r="Z7" s="26">
        <v>0</v>
      </c>
      <c r="AA7" s="26">
        <v>17139549264</v>
      </c>
      <c r="AB7" s="26">
        <v>6380</v>
      </c>
      <c r="AC7" s="26">
        <v>848660634888</v>
      </c>
      <c r="AD7" s="26">
        <f t="shared" si="0"/>
        <v>484907440380</v>
      </c>
      <c r="AE7" s="26">
        <v>901913419714</v>
      </c>
      <c r="AF7" s="26">
        <v>-163541608251</v>
      </c>
      <c r="AG7" s="26">
        <v>0</v>
      </c>
      <c r="AH7" s="26">
        <v>-11964744929</v>
      </c>
      <c r="AI7" s="26">
        <v>3225028300</v>
      </c>
      <c r="AJ7" s="26">
        <v>120270964302</v>
      </c>
      <c r="AK7" s="26">
        <v>894333838842</v>
      </c>
      <c r="AL7" s="26">
        <v>781642455412</v>
      </c>
      <c r="AM7" s="28">
        <v>-0.74903699999999995</v>
      </c>
      <c r="AN7" s="26">
        <v>1427884323</v>
      </c>
      <c r="AO7" s="26">
        <v>0</v>
      </c>
      <c r="AP7" s="26">
        <v>225.5</v>
      </c>
      <c r="AQ7" s="26">
        <v>17</v>
      </c>
      <c r="AR7" s="26">
        <v>543751791</v>
      </c>
      <c r="AS7" s="26">
        <v>16</v>
      </c>
      <c r="AT7" s="3"/>
      <c r="AU7" s="3"/>
    </row>
    <row r="8" spans="1:47" ht="15" customHeight="1" x14ac:dyDescent="0.4">
      <c r="A8" s="31">
        <v>2</v>
      </c>
      <c r="B8" s="31" t="s">
        <v>50</v>
      </c>
      <c r="C8" s="31" t="s">
        <v>51</v>
      </c>
      <c r="D8" s="31">
        <v>2020</v>
      </c>
      <c r="E8" s="31" t="s">
        <v>48</v>
      </c>
      <c r="F8" s="32">
        <v>0.283109</v>
      </c>
      <c r="G8" s="32">
        <v>8.4929000000000004E-2</v>
      </c>
      <c r="H8" s="33" t="s">
        <v>49</v>
      </c>
      <c r="I8" s="32">
        <v>0.31552599999999997</v>
      </c>
      <c r="J8" s="31">
        <v>283168152</v>
      </c>
      <c r="K8" s="31">
        <v>5408405794386</v>
      </c>
      <c r="L8" s="31">
        <v>5374091664520</v>
      </c>
      <c r="M8" s="31">
        <v>29547034101498</v>
      </c>
      <c r="N8" s="31">
        <v>157032487871</v>
      </c>
      <c r="O8" s="31">
        <v>532995652932</v>
      </c>
      <c r="P8" s="31">
        <v>3230203304709</v>
      </c>
      <c r="Q8" s="31">
        <v>4229385489945</v>
      </c>
      <c r="R8" s="31">
        <v>605684623934</v>
      </c>
      <c r="S8" s="33" t="s">
        <v>49</v>
      </c>
      <c r="T8" s="31">
        <v>2973842299793</v>
      </c>
      <c r="U8" s="31">
        <v>37519534038</v>
      </c>
      <c r="V8" s="33" t="s">
        <v>49</v>
      </c>
      <c r="W8" s="33" t="s">
        <v>49</v>
      </c>
      <c r="X8" s="33" t="s">
        <v>49</v>
      </c>
      <c r="Y8" s="31">
        <v>0</v>
      </c>
      <c r="Z8" s="31">
        <v>0</v>
      </c>
      <c r="AA8" s="31">
        <v>472023633411</v>
      </c>
      <c r="AB8" s="31">
        <v>16580</v>
      </c>
      <c r="AC8" s="31">
        <v>7785611797819</v>
      </c>
      <c r="AD8" s="31">
        <f t="shared" si="0"/>
        <v>4694927960160</v>
      </c>
      <c r="AE8" s="31">
        <v>21761422303679</v>
      </c>
      <c r="AF8" s="31">
        <v>-1393919116559</v>
      </c>
      <c r="AG8" s="31">
        <v>391449242405</v>
      </c>
      <c r="AH8" s="31">
        <v>-720189727539</v>
      </c>
      <c r="AI8" s="31">
        <v>438747507744</v>
      </c>
      <c r="AJ8" s="31">
        <v>13275323006793</v>
      </c>
      <c r="AK8" s="31">
        <v>10957164123556</v>
      </c>
      <c r="AL8" s="31">
        <v>8293105685208</v>
      </c>
      <c r="AM8" s="32">
        <v>-9.5482999999999998E-2</v>
      </c>
      <c r="AN8" s="31">
        <v>4685547638419</v>
      </c>
      <c r="AO8" s="31">
        <v>414785419164</v>
      </c>
      <c r="AP8" s="31">
        <v>1000</v>
      </c>
      <c r="AQ8" s="31">
        <v>70</v>
      </c>
      <c r="AR8" s="31">
        <v>2185216948837</v>
      </c>
      <c r="AS8" s="31">
        <v>20</v>
      </c>
      <c r="AT8" s="4"/>
      <c r="AU8" s="4"/>
    </row>
    <row r="9" spans="1:47" ht="15" customHeight="1" x14ac:dyDescent="0.4">
      <c r="A9" s="31">
        <v>2</v>
      </c>
      <c r="B9" s="31" t="s">
        <v>50</v>
      </c>
      <c r="C9" s="31" t="s">
        <v>51</v>
      </c>
      <c r="D9" s="31">
        <v>2021</v>
      </c>
      <c r="E9" s="31" t="s">
        <v>48</v>
      </c>
      <c r="F9" s="32">
        <v>0.176207</v>
      </c>
      <c r="G9" s="32">
        <v>8.4888000000000005E-2</v>
      </c>
      <c r="H9" s="33" t="s">
        <v>49</v>
      </c>
      <c r="I9" s="32">
        <v>0.104378</v>
      </c>
      <c r="J9" s="31">
        <v>283304771</v>
      </c>
      <c r="K9" s="31">
        <v>2908693562956</v>
      </c>
      <c r="L9" s="31">
        <v>2860034048409</v>
      </c>
      <c r="M9" s="31">
        <v>30870173187113</v>
      </c>
      <c r="N9" s="31">
        <v>62945222581</v>
      </c>
      <c r="O9" s="31">
        <v>494236687562</v>
      </c>
      <c r="P9" s="31">
        <v>7306538719519</v>
      </c>
      <c r="Q9" s="31">
        <v>2036064393949</v>
      </c>
      <c r="R9" s="31">
        <v>-74491318984</v>
      </c>
      <c r="S9" s="33" t="s">
        <v>49</v>
      </c>
      <c r="T9" s="31">
        <v>3441888563844</v>
      </c>
      <c r="U9" s="31">
        <v>46349353207</v>
      </c>
      <c r="V9" s="33" t="s">
        <v>49</v>
      </c>
      <c r="W9" s="33" t="s">
        <v>49</v>
      </c>
      <c r="X9" s="33" t="s">
        <v>49</v>
      </c>
      <c r="Y9" s="31">
        <v>0</v>
      </c>
      <c r="Z9" s="31">
        <v>0</v>
      </c>
      <c r="AA9" s="31">
        <v>-242076368335</v>
      </c>
      <c r="AB9" s="31">
        <v>35960</v>
      </c>
      <c r="AC9" s="31">
        <v>8378778491690</v>
      </c>
      <c r="AD9" s="31">
        <f t="shared" si="0"/>
        <v>10187639565160</v>
      </c>
      <c r="AE9" s="31">
        <v>22491394695423</v>
      </c>
      <c r="AF9" s="31">
        <v>-881657088510</v>
      </c>
      <c r="AG9" s="31">
        <v>436237401799</v>
      </c>
      <c r="AH9" s="31">
        <v>737000266187</v>
      </c>
      <c r="AI9" s="31">
        <v>689231766880</v>
      </c>
      <c r="AJ9" s="31">
        <v>13178185560318</v>
      </c>
      <c r="AK9" s="31">
        <v>10497488947013</v>
      </c>
      <c r="AL9" s="31">
        <v>9158744875875</v>
      </c>
      <c r="AM9" s="32">
        <v>-1.512848</v>
      </c>
      <c r="AN9" s="31">
        <v>4549360587837</v>
      </c>
      <c r="AO9" s="31">
        <v>16583485656</v>
      </c>
      <c r="AP9" s="31">
        <v>-1392</v>
      </c>
      <c r="AQ9" s="31">
        <v>31</v>
      </c>
      <c r="AR9" s="31">
        <v>2107408549281</v>
      </c>
      <c r="AS9" s="31">
        <v>21</v>
      </c>
      <c r="AT9" s="4"/>
      <c r="AU9" s="4"/>
    </row>
    <row r="10" spans="1:47" ht="15" customHeight="1" x14ac:dyDescent="0.4">
      <c r="A10" s="31">
        <v>2</v>
      </c>
      <c r="B10" s="31" t="s">
        <v>50</v>
      </c>
      <c r="C10" s="31" t="s">
        <v>51</v>
      </c>
      <c r="D10" s="31">
        <v>2022</v>
      </c>
      <c r="E10" s="31" t="s">
        <v>48</v>
      </c>
      <c r="F10" s="32">
        <v>2.6152999999999999E-2</v>
      </c>
      <c r="G10" s="32">
        <v>8.4675E-2</v>
      </c>
      <c r="H10" s="32">
        <v>0.177506</v>
      </c>
      <c r="I10" s="32">
        <v>9.1143000000000002E-2</v>
      </c>
      <c r="J10" s="31">
        <v>284019513</v>
      </c>
      <c r="K10" s="31">
        <v>5901690577210</v>
      </c>
      <c r="L10" s="31">
        <v>5747990668290</v>
      </c>
      <c r="M10" s="31">
        <v>28559496484792</v>
      </c>
      <c r="N10" s="31">
        <v>76865705532</v>
      </c>
      <c r="O10" s="31">
        <v>461975667642</v>
      </c>
      <c r="P10" s="31">
        <v>6807539823167</v>
      </c>
      <c r="Q10" s="31">
        <v>4404023358553</v>
      </c>
      <c r="R10" s="31">
        <v>1043958028701</v>
      </c>
      <c r="S10" s="33" t="s">
        <v>49</v>
      </c>
      <c r="T10" s="31">
        <v>1471539255902</v>
      </c>
      <c r="U10" s="31">
        <v>17900716058</v>
      </c>
      <c r="V10" s="33" t="s">
        <v>49</v>
      </c>
      <c r="W10" s="33" t="s">
        <v>49</v>
      </c>
      <c r="X10" s="33" t="s">
        <v>49</v>
      </c>
      <c r="Y10" s="31">
        <v>0</v>
      </c>
      <c r="Z10" s="31">
        <v>0</v>
      </c>
      <c r="AA10" s="31">
        <v>860548281340</v>
      </c>
      <c r="AB10" s="31">
        <v>10000</v>
      </c>
      <c r="AC10" s="31">
        <v>8301006107213</v>
      </c>
      <c r="AD10" s="31">
        <f t="shared" si="0"/>
        <v>2840195130000</v>
      </c>
      <c r="AE10" s="31">
        <v>20258490377579</v>
      </c>
      <c r="AF10" s="31">
        <v>973023796179</v>
      </c>
      <c r="AG10" s="31">
        <v>251344638412</v>
      </c>
      <c r="AH10" s="31">
        <v>-22305298181</v>
      </c>
      <c r="AI10" s="31">
        <v>275742966899</v>
      </c>
      <c r="AJ10" s="31">
        <v>9415873137438</v>
      </c>
      <c r="AK10" s="31">
        <v>7226742091969</v>
      </c>
      <c r="AL10" s="31">
        <v>9570468969755</v>
      </c>
      <c r="AM10" s="32">
        <v>-4.5548630000000001</v>
      </c>
      <c r="AN10" s="31">
        <v>1616876485186</v>
      </c>
      <c r="AO10" s="31">
        <v>1389991454</v>
      </c>
      <c r="AP10" s="31">
        <v>2648</v>
      </c>
      <c r="AQ10" s="31">
        <v>35</v>
      </c>
      <c r="AR10" s="31">
        <v>1716939201062</v>
      </c>
      <c r="AS10" s="31">
        <v>22</v>
      </c>
      <c r="AT10" s="4"/>
      <c r="AU10" s="4"/>
    </row>
    <row r="11" spans="1:47" ht="15" customHeight="1" x14ac:dyDescent="0.4">
      <c r="A11" s="31">
        <v>2</v>
      </c>
      <c r="B11" s="31" t="s">
        <v>50</v>
      </c>
      <c r="C11" s="31" t="s">
        <v>51</v>
      </c>
      <c r="D11" s="31">
        <v>2023</v>
      </c>
      <c r="E11" s="31" t="s">
        <v>48</v>
      </c>
      <c r="F11" s="32">
        <v>2.99E-4</v>
      </c>
      <c r="G11" s="32">
        <v>7.5539999999999996E-2</v>
      </c>
      <c r="H11" s="32">
        <v>0.115685</v>
      </c>
      <c r="I11" s="32">
        <v>5.7748000000000001E-2</v>
      </c>
      <c r="J11" s="31">
        <v>318364813</v>
      </c>
      <c r="K11" s="31">
        <v>3195316563683</v>
      </c>
      <c r="L11" s="31">
        <v>3089709940045</v>
      </c>
      <c r="M11" s="31">
        <v>33184094516398</v>
      </c>
      <c r="N11" s="31">
        <v>79931706748</v>
      </c>
      <c r="O11" s="31">
        <v>468374365569</v>
      </c>
      <c r="P11" s="31">
        <v>16374850020007</v>
      </c>
      <c r="Q11" s="31">
        <v>1934641230864</v>
      </c>
      <c r="R11" s="31">
        <v>450884295911</v>
      </c>
      <c r="S11" s="33" t="s">
        <v>49</v>
      </c>
      <c r="T11" s="31">
        <v>906814289692</v>
      </c>
      <c r="U11" s="31">
        <v>0</v>
      </c>
      <c r="V11" s="33" t="s">
        <v>49</v>
      </c>
      <c r="W11" s="33" t="s">
        <v>49</v>
      </c>
      <c r="X11" s="33" t="s">
        <v>49</v>
      </c>
      <c r="Y11" s="31">
        <v>0</v>
      </c>
      <c r="Z11" s="31">
        <v>0</v>
      </c>
      <c r="AA11" s="31">
        <v>369952270581</v>
      </c>
      <c r="AB11" s="31">
        <v>13660</v>
      </c>
      <c r="AC11" s="31">
        <v>8505328220948</v>
      </c>
      <c r="AD11" s="31">
        <f t="shared" si="0"/>
        <v>4348863345580</v>
      </c>
      <c r="AE11" s="31">
        <v>24678766295450</v>
      </c>
      <c r="AF11" s="31">
        <v>-1140786700531</v>
      </c>
      <c r="AG11" s="31">
        <v>476865472641</v>
      </c>
      <c r="AH11" s="31">
        <v>374422041397</v>
      </c>
      <c r="AI11" s="31">
        <v>1200711815688</v>
      </c>
      <c r="AJ11" s="31">
        <v>14037633937872</v>
      </c>
      <c r="AK11" s="31">
        <v>6910759134552</v>
      </c>
      <c r="AL11" s="31">
        <v>8144174339900</v>
      </c>
      <c r="AM11" s="32">
        <v>-0.57009699999999996</v>
      </c>
      <c r="AN11" s="31">
        <v>581771928736</v>
      </c>
      <c r="AO11" s="31">
        <v>238831499590</v>
      </c>
      <c r="AP11" s="31">
        <v>583</v>
      </c>
      <c r="AQ11" s="31">
        <v>35</v>
      </c>
      <c r="AR11" s="31">
        <v>25381438029</v>
      </c>
      <c r="AS11" s="31">
        <v>23</v>
      </c>
      <c r="AT11" s="4"/>
      <c r="AU11" s="4"/>
    </row>
    <row r="12" spans="1:47" ht="15" customHeight="1" x14ac:dyDescent="0.4">
      <c r="A12" s="31">
        <v>2</v>
      </c>
      <c r="B12" s="31" t="s">
        <v>50</v>
      </c>
      <c r="C12" s="31" t="s">
        <v>51</v>
      </c>
      <c r="D12" s="31">
        <v>2024</v>
      </c>
      <c r="E12" s="31" t="s">
        <v>48</v>
      </c>
      <c r="F12" s="32">
        <v>1.6799999999999999E-4</v>
      </c>
      <c r="G12" s="32">
        <v>7.5212000000000001E-2</v>
      </c>
      <c r="H12" s="32">
        <v>9.6140000000000003E-2</v>
      </c>
      <c r="I12" s="32">
        <v>5.2155E-2</v>
      </c>
      <c r="J12" s="31">
        <v>319752413</v>
      </c>
      <c r="K12" s="31">
        <v>3182495930678</v>
      </c>
      <c r="L12" s="31">
        <v>3027742956120</v>
      </c>
      <c r="M12" s="31">
        <v>36671413228231</v>
      </c>
      <c r="N12" s="31">
        <v>83761287417</v>
      </c>
      <c r="O12" s="31">
        <v>543236178170</v>
      </c>
      <c r="P12" s="31">
        <v>15883216608796</v>
      </c>
      <c r="Q12" s="31">
        <v>1363536334642</v>
      </c>
      <c r="R12" s="31">
        <v>640133961704</v>
      </c>
      <c r="S12" s="33" t="s">
        <v>49</v>
      </c>
      <c r="T12" s="31">
        <v>3069236860766</v>
      </c>
      <c r="U12" s="31">
        <v>18637915504</v>
      </c>
      <c r="V12" s="33" t="s">
        <v>49</v>
      </c>
      <c r="W12" s="33" t="s">
        <v>49</v>
      </c>
      <c r="X12" s="33" t="s">
        <v>49</v>
      </c>
      <c r="Y12" s="31">
        <v>0</v>
      </c>
      <c r="Z12" s="31">
        <v>0</v>
      </c>
      <c r="AA12" s="31">
        <v>618285445959</v>
      </c>
      <c r="AB12" s="31">
        <v>11960</v>
      </c>
      <c r="AC12" s="31">
        <v>9124385657359</v>
      </c>
      <c r="AD12" s="31">
        <f t="shared" si="0"/>
        <v>3824238859480</v>
      </c>
      <c r="AE12" s="31">
        <v>27547027570872</v>
      </c>
      <c r="AF12" s="31">
        <v>472335209161</v>
      </c>
      <c r="AG12" s="31">
        <v>411292592793</v>
      </c>
      <c r="AH12" s="31">
        <v>-2058276308820</v>
      </c>
      <c r="AI12" s="31">
        <v>1351810461900</v>
      </c>
      <c r="AJ12" s="31">
        <v>15434189701462</v>
      </c>
      <c r="AK12" s="31">
        <v>8549165025508</v>
      </c>
      <c r="AL12" s="31">
        <v>8961342196450</v>
      </c>
      <c r="AM12" s="32">
        <v>0.67125699999999999</v>
      </c>
      <c r="AN12" s="31">
        <v>2294473840247</v>
      </c>
      <c r="AO12" s="31">
        <v>507415057323</v>
      </c>
      <c r="AP12" s="31">
        <v>723</v>
      </c>
      <c r="AQ12" s="31">
        <v>45</v>
      </c>
      <c r="AR12" s="31">
        <v>380121560454</v>
      </c>
      <c r="AS12" s="31">
        <v>24</v>
      </c>
      <c r="AT12" s="4"/>
      <c r="AU12" s="4"/>
    </row>
    <row r="13" spans="1:47" ht="15" customHeight="1" x14ac:dyDescent="0.4">
      <c r="A13" s="26">
        <v>3</v>
      </c>
      <c r="B13" s="34" t="s">
        <v>52</v>
      </c>
      <c r="C13" s="26" t="s">
        <v>53</v>
      </c>
      <c r="D13" s="26">
        <v>2020</v>
      </c>
      <c r="E13" s="34" t="s">
        <v>54</v>
      </c>
      <c r="F13" s="35">
        <f>(169254 + 455 + 33480 + 50978 + 18847 + 4000 + 8417 + 33480 + 51691 + 877 + 8 + 24495 + 5)/421545789</f>
        <v>9.3936889024409166E-4</v>
      </c>
      <c r="G13" s="35">
        <f t="shared" ref="G13:G14" si="1">212497404/421545789</f>
        <v>0.50409091857871691</v>
      </c>
      <c r="H13" s="35">
        <f>3166009/421545789</f>
        <v>7.510474739910164E-3</v>
      </c>
      <c r="I13" s="35">
        <f>(26932626+3116350)/421545789</f>
        <v>7.1282828067818743E-2</v>
      </c>
      <c r="J13" s="36">
        <v>421545789</v>
      </c>
      <c r="K13" s="36">
        <v>5228638834323</v>
      </c>
      <c r="L13" s="36">
        <v>5228638834323</v>
      </c>
      <c r="M13" s="36">
        <v>20856190205660</v>
      </c>
      <c r="N13" s="36">
        <v>16370720328</v>
      </c>
      <c r="O13" s="36">
        <v>311282604552</v>
      </c>
      <c r="P13" s="36">
        <v>174656806260</v>
      </c>
      <c r="Q13" s="36">
        <v>4899843841029</v>
      </c>
      <c r="R13" s="36">
        <v>173761289013</v>
      </c>
      <c r="S13" s="36">
        <v>572035512390</v>
      </c>
      <c r="T13" s="37">
        <v>5043054606419</v>
      </c>
      <c r="U13" s="36">
        <v>30393369505</v>
      </c>
      <c r="V13" s="36">
        <v>933167382615</v>
      </c>
      <c r="W13" s="36">
        <v>4899843841029</v>
      </c>
      <c r="X13" s="36" t="s">
        <v>49</v>
      </c>
      <c r="Y13" s="36">
        <v>1</v>
      </c>
      <c r="Z13" s="36">
        <v>1</v>
      </c>
      <c r="AA13" s="36">
        <v>183824148975</v>
      </c>
      <c r="AB13" s="36">
        <v>12000</v>
      </c>
      <c r="AC13" s="36">
        <v>14042017346715</v>
      </c>
      <c r="AD13" s="26">
        <f t="shared" si="0"/>
        <v>5058549468000</v>
      </c>
      <c r="AE13" s="36">
        <v>6814172858945</v>
      </c>
      <c r="AF13" s="36">
        <v>164202505470</v>
      </c>
      <c r="AG13" s="36">
        <v>578666769075</v>
      </c>
      <c r="AH13" s="36">
        <v>-1255472799570</v>
      </c>
      <c r="AI13" s="36">
        <v>925196651735</v>
      </c>
      <c r="AJ13" s="36">
        <v>4015633087170</v>
      </c>
      <c r="AK13" s="36">
        <v>5107391677605</v>
      </c>
      <c r="AL13" s="36">
        <v>2798539771775</v>
      </c>
      <c r="AM13" s="35">
        <v>6.7699999999999996E-2</v>
      </c>
      <c r="AN13" s="36">
        <v>958938457945</v>
      </c>
      <c r="AO13" s="36">
        <v>2792342000</v>
      </c>
      <c r="AP13" s="37">
        <v>282</v>
      </c>
      <c r="AQ13" s="36">
        <v>1558</v>
      </c>
      <c r="AR13" s="36">
        <v>13321630546590</v>
      </c>
      <c r="AS13" s="36">
        <v>20</v>
      </c>
      <c r="AT13" s="3"/>
      <c r="AU13" s="3"/>
    </row>
    <row r="14" spans="1:47" ht="15" customHeight="1" x14ac:dyDescent="0.4">
      <c r="A14" s="26">
        <v>3</v>
      </c>
      <c r="B14" s="34" t="s">
        <v>52</v>
      </c>
      <c r="C14" s="26" t="s">
        <v>53</v>
      </c>
      <c r="D14" s="26">
        <v>2021</v>
      </c>
      <c r="E14" s="34" t="s">
        <v>54</v>
      </c>
      <c r="F14" s="35">
        <f>(455 + 80 + 15047 + 3000 + 169254 + 50978 + 80 + 8 + 877 + 51691 + 5 + 95)/421545789</f>
        <v>6.9166863389068277E-4</v>
      </c>
      <c r="G14" s="35">
        <f t="shared" si="1"/>
        <v>0.50409091857871691</v>
      </c>
      <c r="H14" s="35">
        <f>4344396 /421545789</f>
        <v>1.0305869761635788E-2</v>
      </c>
      <c r="I14" s="35">
        <f>(21330908 + 2688807) /421545789</f>
        <v>5.6980085264236861E-2</v>
      </c>
      <c r="J14" s="38">
        <v>421545789</v>
      </c>
      <c r="K14" s="36">
        <v>3995471964670</v>
      </c>
      <c r="L14" s="36">
        <v>3995471964670</v>
      </c>
      <c r="M14" s="36">
        <v>20761202484160</v>
      </c>
      <c r="N14" s="36">
        <v>12925934430</v>
      </c>
      <c r="O14" s="36">
        <v>385609141765</v>
      </c>
      <c r="P14" s="36">
        <v>176987996240</v>
      </c>
      <c r="Q14" s="36">
        <v>3624231518305</v>
      </c>
      <c r="R14" s="36">
        <v>69253805320</v>
      </c>
      <c r="S14" s="36">
        <v>823147105845</v>
      </c>
      <c r="T14" s="37">
        <v>3412274509075</v>
      </c>
      <c r="U14" s="36">
        <v>29849708000</v>
      </c>
      <c r="V14" s="36">
        <v>565351030820</v>
      </c>
      <c r="W14" s="36">
        <v>3624231518305</v>
      </c>
      <c r="X14" s="36" t="s">
        <v>49</v>
      </c>
      <c r="Y14" s="36">
        <v>0</v>
      </c>
      <c r="Z14" s="36">
        <v>0</v>
      </c>
      <c r="AA14" s="36">
        <v>36769967410</v>
      </c>
      <c r="AB14" s="36">
        <v>21960</v>
      </c>
      <c r="AC14" s="36">
        <v>13831580467120</v>
      </c>
      <c r="AD14" s="26">
        <f t="shared" si="0"/>
        <v>9257145526440</v>
      </c>
      <c r="AE14" s="36">
        <v>6929622017040</v>
      </c>
      <c r="AF14" s="36">
        <v>-376402510939</v>
      </c>
      <c r="AG14" s="36">
        <v>608266399100</v>
      </c>
      <c r="AH14" s="36">
        <v>457025313960</v>
      </c>
      <c r="AI14" s="36">
        <v>1130703090240</v>
      </c>
      <c r="AJ14" s="36">
        <v>3899176762080</v>
      </c>
      <c r="AK14" s="36">
        <v>5428797240960</v>
      </c>
      <c r="AL14" s="36">
        <v>3030445254960</v>
      </c>
      <c r="AM14" s="35">
        <v>-0.8</v>
      </c>
      <c r="AN14" s="36">
        <v>757836145920</v>
      </c>
      <c r="AO14" s="36">
        <v>2792342000</v>
      </c>
      <c r="AP14" s="37">
        <v>-36</v>
      </c>
      <c r="AQ14" s="36">
        <v>2000</v>
      </c>
      <c r="AR14" s="36">
        <v>12784902046560</v>
      </c>
      <c r="AS14" s="36">
        <v>21</v>
      </c>
      <c r="AT14" s="3"/>
      <c r="AU14" s="3"/>
    </row>
    <row r="15" spans="1:47" ht="15" customHeight="1" x14ac:dyDescent="0.4">
      <c r="A15" s="26">
        <v>3</v>
      </c>
      <c r="B15" s="34" t="s">
        <v>52</v>
      </c>
      <c r="C15" s="26" t="s">
        <v>53</v>
      </c>
      <c r="D15" s="26">
        <v>2022</v>
      </c>
      <c r="E15" s="34" t="s">
        <v>54</v>
      </c>
      <c r="F15" s="39">
        <f>(600 + 105 + 12481 + 105 + 6 + 68231 + 1157 + 6)/556296006</f>
        <v>1.486456834277541E-4</v>
      </c>
      <c r="G15" s="35">
        <f t="shared" ref="G15:G17" si="2">280496572/556296006</f>
        <v>0.50422179734290595</v>
      </c>
      <c r="H15" s="35">
        <f>24702645 /556296006</f>
        <v>4.4405576767703778E-2</v>
      </c>
      <c r="I15" s="35">
        <f>(125969664 + 3070685 )/556296006</f>
        <v>0.23196346478892391</v>
      </c>
      <c r="J15" s="36">
        <v>556296006</v>
      </c>
      <c r="K15" s="36">
        <v>5431604613820</v>
      </c>
      <c r="L15" s="36">
        <v>5431604613820</v>
      </c>
      <c r="M15" s="36">
        <v>20704046691470</v>
      </c>
      <c r="N15" s="36">
        <v>17630778616</v>
      </c>
      <c r="O15" s="36">
        <v>492791232296</v>
      </c>
      <c r="P15" s="36">
        <v>170902527870</v>
      </c>
      <c r="Q15" s="36">
        <v>4854177283428</v>
      </c>
      <c r="R15" s="36">
        <v>-82914186168</v>
      </c>
      <c r="S15" s="36">
        <v>677359880340</v>
      </c>
      <c r="T15" s="37">
        <v>5016559747708</v>
      </c>
      <c r="U15" s="36">
        <v>25750040190</v>
      </c>
      <c r="V15" s="36">
        <v>1178727829840</v>
      </c>
      <c r="W15" s="36">
        <v>4854177283428</v>
      </c>
      <c r="X15" s="36" t="s">
        <v>49</v>
      </c>
      <c r="Y15" s="36">
        <v>0</v>
      </c>
      <c r="Z15" s="36">
        <v>1</v>
      </c>
      <c r="AA15" s="36">
        <v>-154856438352</v>
      </c>
      <c r="AB15" s="36">
        <v>17460</v>
      </c>
      <c r="AC15" s="36">
        <v>14078509303130</v>
      </c>
      <c r="AD15" s="26">
        <f t="shared" si="0"/>
        <v>9712928264760</v>
      </c>
      <c r="AE15" s="36">
        <v>6625537388340</v>
      </c>
      <c r="AF15" s="36">
        <v>-83499393907</v>
      </c>
      <c r="AG15" s="36">
        <v>155013877216</v>
      </c>
      <c r="AH15" s="36">
        <v>1207854459004</v>
      </c>
      <c r="AI15" s="36">
        <v>2078586541400</v>
      </c>
      <c r="AJ15" s="36">
        <v>3757309049930</v>
      </c>
      <c r="AK15" s="36">
        <v>5645895372740</v>
      </c>
      <c r="AL15" s="36">
        <v>2868228338410</v>
      </c>
      <c r="AM15" s="35">
        <v>-5.2115</v>
      </c>
      <c r="AN15" s="36">
        <v>908560921640</v>
      </c>
      <c r="AO15" s="36">
        <v>3490427500</v>
      </c>
      <c r="AP15" s="37">
        <v>-250</v>
      </c>
      <c r="AQ15" s="36">
        <v>1971</v>
      </c>
      <c r="AR15" s="36">
        <v>13396281716020</v>
      </c>
      <c r="AS15" s="36">
        <v>22</v>
      </c>
      <c r="AT15" s="3"/>
      <c r="AU15" s="3"/>
    </row>
    <row r="16" spans="1:47" ht="15" customHeight="1" x14ac:dyDescent="0.4">
      <c r="A16" s="26">
        <v>3</v>
      </c>
      <c r="B16" s="34" t="s">
        <v>52</v>
      </c>
      <c r="C16" s="26" t="s">
        <v>53</v>
      </c>
      <c r="D16" s="26">
        <v>2023</v>
      </c>
      <c r="E16" s="34" t="s">
        <v>54</v>
      </c>
      <c r="F16" s="39">
        <f>(600 + 105 + 10581)/556296006</f>
        <v>2.0287760254025624E-5</v>
      </c>
      <c r="G16" s="35">
        <f t="shared" si="2"/>
        <v>0.50422179734290595</v>
      </c>
      <c r="H16" s="35">
        <f>38078639/556296006</f>
        <v>6.8450318875738977E-2</v>
      </c>
      <c r="I16" s="35">
        <f>(119920403 + 2378056)/556296006</f>
        <v>0.21984421545532362</v>
      </c>
      <c r="J16" s="36">
        <v>556296006</v>
      </c>
      <c r="K16" s="36">
        <v>5804412484923</v>
      </c>
      <c r="L16" s="36">
        <v>5804412484923</v>
      </c>
      <c r="M16" s="36">
        <v>21632848207600</v>
      </c>
      <c r="N16" s="36">
        <v>24149229741</v>
      </c>
      <c r="O16" s="36">
        <v>522515095908</v>
      </c>
      <c r="P16" s="36">
        <v>164785532240</v>
      </c>
      <c r="Q16" s="36">
        <v>4498918879611</v>
      </c>
      <c r="R16" s="36">
        <v>567132782658</v>
      </c>
      <c r="S16" s="36">
        <v>719704675833</v>
      </c>
      <c r="T16" s="37">
        <v>4590789092691</v>
      </c>
      <c r="U16" s="36">
        <v>52673964560</v>
      </c>
      <c r="V16" s="36">
        <v>118304420793</v>
      </c>
      <c r="W16" s="36">
        <v>4498918879611</v>
      </c>
      <c r="X16" s="36" t="s">
        <v>49</v>
      </c>
      <c r="Y16" s="36">
        <v>1</v>
      </c>
      <c r="Z16" s="36">
        <v>1</v>
      </c>
      <c r="AA16" s="36">
        <v>545942180784</v>
      </c>
      <c r="AB16" s="36">
        <v>27680</v>
      </c>
      <c r="AC16" s="36">
        <v>14898157540000</v>
      </c>
      <c r="AD16" s="26">
        <f t="shared" si="0"/>
        <v>15398273446080</v>
      </c>
      <c r="AE16" s="36">
        <v>6734690667600</v>
      </c>
      <c r="AF16" s="36">
        <v>1616059272782</v>
      </c>
      <c r="AG16" s="36">
        <v>148568930913</v>
      </c>
      <c r="AH16" s="36">
        <v>-894152093036</v>
      </c>
      <c r="AI16" s="36">
        <v>2256047157280</v>
      </c>
      <c r="AJ16" s="36">
        <v>3588554676560</v>
      </c>
      <c r="AK16" s="36">
        <v>6927879980560</v>
      </c>
      <c r="AL16" s="36">
        <v>3146135991040</v>
      </c>
      <c r="AM16" s="35">
        <v>-4.5255000000000001</v>
      </c>
      <c r="AN16" s="36">
        <v>999895512000</v>
      </c>
      <c r="AO16" s="36">
        <v>3490427500</v>
      </c>
      <c r="AP16" s="37">
        <v>810</v>
      </c>
      <c r="AQ16" s="40">
        <v>1924</v>
      </c>
      <c r="AR16" s="36">
        <v>12950566249040</v>
      </c>
      <c r="AS16" s="36">
        <v>23</v>
      </c>
      <c r="AT16" s="3"/>
      <c r="AU16" s="3"/>
    </row>
    <row r="17" spans="1:47" ht="15" customHeight="1" x14ac:dyDescent="0.4">
      <c r="A17" s="26">
        <v>3</v>
      </c>
      <c r="B17" s="34" t="s">
        <v>52</v>
      </c>
      <c r="C17" s="26" t="s">
        <v>53</v>
      </c>
      <c r="D17" s="26">
        <v>2024</v>
      </c>
      <c r="E17" s="34" t="s">
        <v>54</v>
      </c>
      <c r="F17" s="39">
        <v>5.8999999999999998E-5</v>
      </c>
      <c r="G17" s="35">
        <f t="shared" si="2"/>
        <v>0.50422179734290595</v>
      </c>
      <c r="H17" s="35">
        <f>33998142/556296006</f>
        <v>6.111520060059536E-2</v>
      </c>
      <c r="I17" s="35">
        <f>(46696513 + 2259822)/556296006</f>
        <v>8.8004110171519004E-2</v>
      </c>
      <c r="J17" s="36">
        <v>556296006</v>
      </c>
      <c r="K17" s="36">
        <v>9289871699307</v>
      </c>
      <c r="L17" s="36">
        <v>9288059307546</v>
      </c>
      <c r="M17" s="36">
        <v>23614557761223</v>
      </c>
      <c r="N17" s="36">
        <v>34726143132</v>
      </c>
      <c r="O17" s="36">
        <v>600492942054</v>
      </c>
      <c r="P17" s="36">
        <v>160974367470</v>
      </c>
      <c r="Q17" s="36">
        <v>7533882511644</v>
      </c>
      <c r="R17" s="36">
        <v>919355329881</v>
      </c>
      <c r="S17" s="36">
        <v>1618320256557</v>
      </c>
      <c r="T17" s="37">
        <v>7748172884209</v>
      </c>
      <c r="U17" s="36">
        <v>33886791498</v>
      </c>
      <c r="V17" s="36">
        <v>1893855017889</v>
      </c>
      <c r="W17" s="36">
        <v>7533882511644</v>
      </c>
      <c r="X17" s="36" t="s">
        <v>49</v>
      </c>
      <c r="Y17" s="36">
        <v>1</v>
      </c>
      <c r="Z17" s="36">
        <v>0</v>
      </c>
      <c r="AA17" s="36">
        <v>697970710425</v>
      </c>
      <c r="AB17" s="36">
        <v>22880</v>
      </c>
      <c r="AC17" s="36">
        <v>16052342324403</v>
      </c>
      <c r="AD17" s="26">
        <f t="shared" si="0"/>
        <v>12728052617280</v>
      </c>
      <c r="AE17" s="36">
        <v>7562215436820</v>
      </c>
      <c r="AF17" s="36">
        <v>1036895087071</v>
      </c>
      <c r="AG17" s="36">
        <v>1371364408053</v>
      </c>
      <c r="AH17" s="36">
        <v>-757840412859</v>
      </c>
      <c r="AI17" s="36">
        <v>2203268278194</v>
      </c>
      <c r="AJ17" s="36">
        <v>3438118259457</v>
      </c>
      <c r="AK17" s="36">
        <v>7782381355167</v>
      </c>
      <c r="AL17" s="36">
        <v>4124097177363</v>
      </c>
      <c r="AM17" s="35">
        <v>0.27850000000000003</v>
      </c>
      <c r="AN17" s="36">
        <v>1215947183667</v>
      </c>
      <c r="AO17" s="36">
        <v>3490427500</v>
      </c>
      <c r="AP17" s="37">
        <v>1000</v>
      </c>
      <c r="AQ17" s="40">
        <v>2425</v>
      </c>
      <c r="AR17" s="36">
        <v>12699952977516</v>
      </c>
      <c r="AS17" s="36">
        <v>24</v>
      </c>
      <c r="AT17" s="3"/>
      <c r="AU17" s="3"/>
    </row>
    <row r="18" spans="1:47" ht="15" customHeight="1" x14ac:dyDescent="0.4">
      <c r="A18" s="31">
        <v>4</v>
      </c>
      <c r="B18" s="41" t="s">
        <v>55</v>
      </c>
      <c r="C18" s="31" t="s">
        <v>56</v>
      </c>
      <c r="D18" s="31">
        <v>2020</v>
      </c>
      <c r="E18" s="41" t="s">
        <v>48</v>
      </c>
      <c r="F18" s="42">
        <v>6.711E-3</v>
      </c>
      <c r="G18" s="43">
        <v>0</v>
      </c>
      <c r="H18" s="43">
        <f>(16400000 + 12200000 + 3789255 + 88230365 + 131783125 + 10833100 + 84800)/267384090</f>
        <v>0.98480296639938447</v>
      </c>
      <c r="I18" s="43">
        <v>0</v>
      </c>
      <c r="J18" s="44">
        <v>267384090</v>
      </c>
      <c r="K18" s="44">
        <v>1202532597940</v>
      </c>
      <c r="L18" s="44">
        <v>1201343487213</v>
      </c>
      <c r="M18" s="44">
        <v>32416882070046</v>
      </c>
      <c r="N18" s="44">
        <v>0</v>
      </c>
      <c r="O18" s="44">
        <v>101735107247</v>
      </c>
      <c r="P18" s="44">
        <v>933446723</v>
      </c>
      <c r="Q18" s="44">
        <v>499445581858</v>
      </c>
      <c r="R18" s="44">
        <v>178373922112</v>
      </c>
      <c r="S18" s="44">
        <v>120524348003</v>
      </c>
      <c r="T18" s="45">
        <v>464907539618</v>
      </c>
      <c r="U18" s="44">
        <v>67436673179</v>
      </c>
      <c r="V18" s="44">
        <v>283283257742</v>
      </c>
      <c r="W18" s="46">
        <v>894350236024</v>
      </c>
      <c r="X18" s="44" t="s">
        <v>49</v>
      </c>
      <c r="Y18" s="44">
        <v>0</v>
      </c>
      <c r="Z18" s="44">
        <v>0</v>
      </c>
      <c r="AA18" s="44">
        <v>175564339194</v>
      </c>
      <c r="AB18" s="44">
        <v>12520</v>
      </c>
      <c r="AC18" s="44">
        <v>7384454105178</v>
      </c>
      <c r="AD18" s="31">
        <f t="shared" si="0"/>
        <v>3347648806800</v>
      </c>
      <c r="AE18" s="44">
        <v>25032427964868</v>
      </c>
      <c r="AF18" s="44">
        <v>-12989860686</v>
      </c>
      <c r="AG18" s="44">
        <v>1319639376739</v>
      </c>
      <c r="AH18" s="44">
        <v>-1303461994714</v>
      </c>
      <c r="AI18" s="44">
        <v>276956612840</v>
      </c>
      <c r="AJ18" s="44">
        <v>21455443423890</v>
      </c>
      <c r="AK18" s="44">
        <v>1443804463663</v>
      </c>
      <c r="AL18" s="44">
        <v>3576984540979</v>
      </c>
      <c r="AM18" s="43">
        <v>0.13239999999999999</v>
      </c>
      <c r="AN18" s="44">
        <v>72723163771</v>
      </c>
      <c r="AO18" s="44">
        <v>0</v>
      </c>
      <c r="AP18" s="45">
        <v>469</v>
      </c>
      <c r="AQ18" s="44">
        <v>1108</v>
      </c>
      <c r="AR18" s="44">
        <v>23691330061226</v>
      </c>
      <c r="AS18" s="44">
        <f>2020-1974+1</f>
        <v>47</v>
      </c>
      <c r="AT18" s="4"/>
      <c r="AU18" s="4"/>
    </row>
    <row r="19" spans="1:47" ht="15" customHeight="1" x14ac:dyDescent="0.4">
      <c r="A19" s="31">
        <v>4</v>
      </c>
      <c r="B19" s="41" t="s">
        <v>55</v>
      </c>
      <c r="C19" s="31" t="s">
        <v>56</v>
      </c>
      <c r="D19" s="31">
        <v>2021</v>
      </c>
      <c r="E19" s="41" t="s">
        <v>48</v>
      </c>
      <c r="F19" s="43">
        <f>(1800000 + 3889255 + 67783125 + 230000 + 230000 + 6000 + 3067 + 2000)/267384090</f>
        <v>0.27654392974540853</v>
      </c>
      <c r="G19" s="43">
        <v>0</v>
      </c>
      <c r="H19" s="43" t="s">
        <v>49</v>
      </c>
      <c r="I19" s="43">
        <f>1013625/267384090</f>
        <v>3.7908949631221514E-3</v>
      </c>
      <c r="J19" s="44">
        <v>267384090</v>
      </c>
      <c r="K19" s="44">
        <v>1861340178631</v>
      </c>
      <c r="L19" s="44">
        <v>1861340178631</v>
      </c>
      <c r="M19" s="44">
        <v>33963489243390</v>
      </c>
      <c r="N19" s="44">
        <v>0</v>
      </c>
      <c r="O19" s="44">
        <v>94936165786</v>
      </c>
      <c r="P19" s="44">
        <v>768893482</v>
      </c>
      <c r="Q19" s="44">
        <v>936332401985</v>
      </c>
      <c r="R19" s="44">
        <v>312488982789</v>
      </c>
      <c r="S19" s="44">
        <v>314641010605</v>
      </c>
      <c r="T19" s="45">
        <v>901892947320</v>
      </c>
      <c r="U19" s="44">
        <v>32654864766</v>
      </c>
      <c r="V19" s="44">
        <v>58989388037</v>
      </c>
      <c r="W19" s="44">
        <v>1003944069738</v>
      </c>
      <c r="X19" s="44" t="s">
        <v>49</v>
      </c>
      <c r="Y19" s="44">
        <v>0</v>
      </c>
      <c r="Z19" s="44">
        <v>0</v>
      </c>
      <c r="AA19" s="44">
        <v>290647185327</v>
      </c>
      <c r="AB19" s="44">
        <v>19800</v>
      </c>
      <c r="AC19" s="44">
        <v>7676137290504</v>
      </c>
      <c r="AD19" s="31">
        <f t="shared" si="0"/>
        <v>5294204982000</v>
      </c>
      <c r="AE19" s="44">
        <v>26287351952886</v>
      </c>
      <c r="AF19" s="44">
        <v>162222156079</v>
      </c>
      <c r="AG19" s="44">
        <v>238841815462</v>
      </c>
      <c r="AH19" s="44">
        <v>-198844487511</v>
      </c>
      <c r="AI19" s="44">
        <v>262383481328</v>
      </c>
      <c r="AJ19" s="44">
        <v>23053581837397</v>
      </c>
      <c r="AK19" s="44">
        <v>1373641954521</v>
      </c>
      <c r="AL19" s="44">
        <v>3162445364400</v>
      </c>
      <c r="AM19" s="43">
        <v>0.65549999999999997</v>
      </c>
      <c r="AN19" s="44">
        <v>38283709106</v>
      </c>
      <c r="AO19" s="44">
        <v>0</v>
      </c>
      <c r="AP19" s="45">
        <v>1019</v>
      </c>
      <c r="AQ19" s="44">
        <v>987</v>
      </c>
      <c r="AR19" s="44">
        <v>28626474132987</v>
      </c>
      <c r="AS19" s="44">
        <v>48</v>
      </c>
      <c r="AT19" s="4"/>
      <c r="AU19" s="4"/>
    </row>
    <row r="20" spans="1:47" ht="15" customHeight="1" x14ac:dyDescent="0.4">
      <c r="A20" s="31">
        <v>4</v>
      </c>
      <c r="B20" s="41" t="s">
        <v>55</v>
      </c>
      <c r="C20" s="31" t="s">
        <v>56</v>
      </c>
      <c r="D20" s="31">
        <v>2022</v>
      </c>
      <c r="E20" s="41" t="s">
        <v>48</v>
      </c>
      <c r="F20" s="43">
        <f>(1800000 + 3909255 +  61900000 + 230000 + 230000  + 2000 + 3067 ) / 307804450</f>
        <v>0.22116094163031105</v>
      </c>
      <c r="G20" s="43">
        <v>0</v>
      </c>
      <c r="H20" s="43" t="s">
        <v>49</v>
      </c>
      <c r="I20" s="43" t="s">
        <v>49</v>
      </c>
      <c r="J20" s="44">
        <v>307804450</v>
      </c>
      <c r="K20" s="44">
        <v>2094582751424</v>
      </c>
      <c r="L20" s="44">
        <v>2094582751424</v>
      </c>
      <c r="M20" s="44">
        <v>35653232484507</v>
      </c>
      <c r="N20" s="44">
        <v>0</v>
      </c>
      <c r="O20" s="44">
        <v>72874475153</v>
      </c>
      <c r="P20" s="44">
        <v>4571532687</v>
      </c>
      <c r="Q20" s="44">
        <v>1078028599115</v>
      </c>
      <c r="R20" s="44">
        <v>354246391469</v>
      </c>
      <c r="S20" s="44">
        <v>431205077480</v>
      </c>
      <c r="T20" s="45">
        <v>1200490645825</v>
      </c>
      <c r="U20" s="44">
        <v>148953796014</v>
      </c>
      <c r="V20" s="44">
        <v>157541546456</v>
      </c>
      <c r="W20" s="44">
        <v>1267202005516</v>
      </c>
      <c r="X20" s="44" t="s">
        <v>49</v>
      </c>
      <c r="Y20" s="44">
        <v>0</v>
      </c>
      <c r="Z20" s="44">
        <v>0</v>
      </c>
      <c r="AA20" s="44">
        <v>297409288870</v>
      </c>
      <c r="AB20" s="44">
        <v>7300</v>
      </c>
      <c r="AC20" s="44">
        <v>8375513279374</v>
      </c>
      <c r="AD20" s="31">
        <f t="shared" si="0"/>
        <v>2246972485000</v>
      </c>
      <c r="AE20" s="44">
        <v>27277719205133</v>
      </c>
      <c r="AF20" s="44">
        <v>365120433938</v>
      </c>
      <c r="AG20" s="44">
        <v>196901788609</v>
      </c>
      <c r="AH20" s="44">
        <v>-194157282703</v>
      </c>
      <c r="AI20" s="44">
        <v>382261109037</v>
      </c>
      <c r="AJ20" s="44">
        <v>23420466355025</v>
      </c>
      <c r="AK20" s="44">
        <v>1183826382647</v>
      </c>
      <c r="AL20" s="44">
        <v>3857252850108</v>
      </c>
      <c r="AM20" s="43">
        <v>2.3300000000000001E-2</v>
      </c>
      <c r="AN20" s="44">
        <v>160745755816</v>
      </c>
      <c r="AO20" s="44">
        <v>0</v>
      </c>
      <c r="AP20" s="45">
        <v>982</v>
      </c>
      <c r="AQ20" s="44">
        <v>1285</v>
      </c>
      <c r="AR20" s="44">
        <v>28557207556363</v>
      </c>
      <c r="AS20" s="44">
        <v>49</v>
      </c>
      <c r="AT20" s="4"/>
      <c r="AU20" s="4"/>
    </row>
    <row r="21" spans="1:47" ht="15" customHeight="1" x14ac:dyDescent="0.4">
      <c r="A21" s="31">
        <v>4</v>
      </c>
      <c r="B21" s="41" t="s">
        <v>55</v>
      </c>
      <c r="C21" s="31" t="s">
        <v>56</v>
      </c>
      <c r="D21" s="31">
        <v>2023</v>
      </c>
      <c r="E21" s="41" t="s">
        <v>48</v>
      </c>
      <c r="F21" s="43">
        <f>(1926000 +  5678027  + 66233000 + 246100 + 246100  + 3281 +  2755 ) / 329350351</f>
        <v>0.22570269858312675</v>
      </c>
      <c r="G21" s="43">
        <v>0</v>
      </c>
      <c r="H21" s="43">
        <v>0.16089999999999999</v>
      </c>
      <c r="I21" s="43">
        <v>0</v>
      </c>
      <c r="J21" s="44">
        <v>329350351</v>
      </c>
      <c r="K21" s="44">
        <v>2685542239251</v>
      </c>
      <c r="L21" s="44">
        <v>2685542239251</v>
      </c>
      <c r="M21" s="44">
        <v>36780154788883</v>
      </c>
      <c r="N21" s="44">
        <v>0</v>
      </c>
      <c r="O21" s="44">
        <v>60780235502</v>
      </c>
      <c r="P21" s="44">
        <v>3898832719</v>
      </c>
      <c r="Q21" s="44">
        <v>1605123307081</v>
      </c>
      <c r="R21" s="44">
        <v>427187880700</v>
      </c>
      <c r="S21" s="44">
        <v>514646830681</v>
      </c>
      <c r="T21" s="45">
        <v>1521667965603</v>
      </c>
      <c r="U21" s="44">
        <v>59003359811</v>
      </c>
      <c r="V21" s="44">
        <v>113508607978</v>
      </c>
      <c r="W21" s="44">
        <v>1575953106380</v>
      </c>
      <c r="X21" s="44" t="s">
        <v>49</v>
      </c>
      <c r="Y21" s="44">
        <v>0</v>
      </c>
      <c r="Z21" s="44">
        <v>0</v>
      </c>
      <c r="AA21" s="44">
        <v>364457217861</v>
      </c>
      <c r="AB21" s="44">
        <v>13680</v>
      </c>
      <c r="AC21" s="44">
        <v>8732901329464</v>
      </c>
      <c r="AD21" s="31">
        <f t="shared" si="0"/>
        <v>4505512801680</v>
      </c>
      <c r="AE21" s="44">
        <v>28047253459419</v>
      </c>
      <c r="AF21" s="44">
        <v>393401106065</v>
      </c>
      <c r="AG21" s="44">
        <v>128953497802</v>
      </c>
      <c r="AH21" s="44">
        <v>-91734208084</v>
      </c>
      <c r="AI21" s="44">
        <v>296127587276</v>
      </c>
      <c r="AJ21" s="44">
        <v>24903357791986</v>
      </c>
      <c r="AK21" s="44">
        <v>1175974314357</v>
      </c>
      <c r="AL21" s="44">
        <v>3143895667433</v>
      </c>
      <c r="AM21" s="43">
        <v>0.22539999999999999</v>
      </c>
      <c r="AN21" s="44">
        <v>77290414338</v>
      </c>
      <c r="AO21" s="44">
        <v>0</v>
      </c>
      <c r="AP21" s="45">
        <v>1010</v>
      </c>
      <c r="AQ21" s="44">
        <v>1073</v>
      </c>
      <c r="AR21" s="44">
        <v>28308715534444</v>
      </c>
      <c r="AS21" s="44">
        <v>50</v>
      </c>
      <c r="AT21" s="4"/>
      <c r="AU21" s="4"/>
    </row>
    <row r="22" spans="1:47" ht="15" customHeight="1" x14ac:dyDescent="0.4">
      <c r="A22" s="31">
        <v>4</v>
      </c>
      <c r="B22" s="41" t="s">
        <v>55</v>
      </c>
      <c r="C22" s="31" t="s">
        <v>56</v>
      </c>
      <c r="D22" s="31">
        <v>2024</v>
      </c>
      <c r="E22" s="41" t="s">
        <v>48</v>
      </c>
      <c r="F22" s="43">
        <f>(2022300 + 5961928 + 69544649 + 258405 + 3984 + 3445 ) / 432255528</f>
        <v>0.17997389497815747</v>
      </c>
      <c r="G22" s="43">
        <v>0</v>
      </c>
      <c r="H22" s="43">
        <v>0.16089999999999999</v>
      </c>
      <c r="I22" s="43">
        <v>0</v>
      </c>
      <c r="J22" s="44">
        <v>432255528</v>
      </c>
      <c r="K22" s="44">
        <v>3308251591277</v>
      </c>
      <c r="L22" s="44">
        <v>3308251591277</v>
      </c>
      <c r="M22" s="44">
        <v>38906360732239</v>
      </c>
      <c r="N22" s="44">
        <v>0</v>
      </c>
      <c r="O22" s="44">
        <v>71738443064</v>
      </c>
      <c r="P22" s="44">
        <v>3087051275</v>
      </c>
      <c r="Q22" s="44">
        <v>1967049198935</v>
      </c>
      <c r="R22" s="44">
        <v>560956193638</v>
      </c>
      <c r="S22" s="44">
        <v>619376335416</v>
      </c>
      <c r="T22" s="45">
        <v>1957473719227</v>
      </c>
      <c r="U22" s="44">
        <v>42215764593</v>
      </c>
      <c r="V22" s="44">
        <v>217174205201</v>
      </c>
      <c r="W22" s="44">
        <v>2022000046781</v>
      </c>
      <c r="X22" s="44" t="s">
        <v>49</v>
      </c>
      <c r="Y22" s="44">
        <v>0</v>
      </c>
      <c r="Z22" s="44">
        <v>0</v>
      </c>
      <c r="AA22" s="44">
        <v>495104828065</v>
      </c>
      <c r="AB22" s="44">
        <v>10850</v>
      </c>
      <c r="AC22" s="44">
        <v>10929626950095</v>
      </c>
      <c r="AD22" s="31">
        <f t="shared" si="0"/>
        <v>4689972478800</v>
      </c>
      <c r="AE22" s="44">
        <v>27976733782144</v>
      </c>
      <c r="AF22" s="44">
        <v>1143944274540</v>
      </c>
      <c r="AG22" s="44">
        <v>258541184587</v>
      </c>
      <c r="AH22" s="44">
        <v>-669936518627</v>
      </c>
      <c r="AI22" s="44">
        <v>308933876437</v>
      </c>
      <c r="AJ22" s="44">
        <v>24297785800180</v>
      </c>
      <c r="AK22" s="44">
        <v>1282949495901</v>
      </c>
      <c r="AL22" s="44">
        <v>3678947981964</v>
      </c>
      <c r="AM22" s="43">
        <v>0.35849999999999999</v>
      </c>
      <c r="AN22" s="44">
        <v>67714934630</v>
      </c>
      <c r="AO22" s="44">
        <v>66050631</v>
      </c>
      <c r="AP22" s="45">
        <v>1025</v>
      </c>
      <c r="AQ22" s="44">
        <v>1285</v>
      </c>
      <c r="AR22" s="44">
        <v>27785952501334</v>
      </c>
      <c r="AS22" s="44">
        <v>51</v>
      </c>
      <c r="AT22" s="4"/>
      <c r="AU22" s="4"/>
    </row>
    <row r="23" spans="1:47" ht="15" customHeight="1" x14ac:dyDescent="0.4">
      <c r="A23" s="47">
        <v>5</v>
      </c>
      <c r="B23" s="48" t="s">
        <v>57</v>
      </c>
      <c r="C23" s="47" t="s">
        <v>58</v>
      </c>
      <c r="D23" s="47">
        <v>2020</v>
      </c>
      <c r="E23" s="49" t="s">
        <v>59</v>
      </c>
      <c r="F23" s="50">
        <f>(14800000 + 2453 + 2453 + 242 + 1223)/274744063</f>
        <v>5.3891504836630445E-2</v>
      </c>
      <c r="G23" s="50">
        <v>0</v>
      </c>
      <c r="H23" s="50">
        <f>47.13%</f>
        <v>0.47130000000000005</v>
      </c>
      <c r="I23" s="50">
        <f>2.53% + 1%</f>
        <v>3.5299999999999998E-2</v>
      </c>
      <c r="J23" s="51">
        <v>274744063</v>
      </c>
      <c r="K23" s="52">
        <v>607591097470</v>
      </c>
      <c r="L23" s="52">
        <v>605482006561</v>
      </c>
      <c r="M23" s="52">
        <v>3946662733382</v>
      </c>
      <c r="N23" s="52">
        <v>5461994033</v>
      </c>
      <c r="O23" s="52">
        <v>8173924789</v>
      </c>
      <c r="P23" s="52">
        <v>3520000000</v>
      </c>
      <c r="Q23" s="52">
        <v>526915495060</v>
      </c>
      <c r="R23" s="52">
        <v>303365804320</v>
      </c>
      <c r="S23" s="52">
        <v>175457818147</v>
      </c>
      <c r="T23" s="52">
        <f>526915495060 + 146229132873 - 317446978304</f>
        <v>355697649629</v>
      </c>
      <c r="U23" s="52">
        <v>29825903720</v>
      </c>
      <c r="V23" s="52">
        <v>17908921694</v>
      </c>
      <c r="W23" s="52">
        <v>211933335359</v>
      </c>
      <c r="X23" s="53" t="s">
        <v>49</v>
      </c>
      <c r="Y23" s="53">
        <v>0</v>
      </c>
      <c r="Z23" s="53">
        <v>0</v>
      </c>
      <c r="AA23" s="52">
        <v>286387828211</v>
      </c>
      <c r="AB23" s="52">
        <v>4500</v>
      </c>
      <c r="AC23" s="52">
        <v>3742103439530</v>
      </c>
      <c r="AD23" s="26">
        <f t="shared" si="0"/>
        <v>1236348283500</v>
      </c>
      <c r="AE23" s="52">
        <v>204559293852</v>
      </c>
      <c r="AF23" s="49">
        <v>807646570596</v>
      </c>
      <c r="AG23" s="49">
        <v>8848985374</v>
      </c>
      <c r="AH23" s="49">
        <v>-806706306126</v>
      </c>
      <c r="AI23" s="49">
        <v>143098383082</v>
      </c>
      <c r="AJ23" s="54">
        <v>54680677837</v>
      </c>
      <c r="AK23" s="49">
        <v>653530725718</v>
      </c>
      <c r="AL23" s="49">
        <v>149878616015</v>
      </c>
      <c r="AM23" s="55">
        <f>46.67/100</f>
        <v>0.4667</v>
      </c>
      <c r="AN23" s="56">
        <v>133388561217</v>
      </c>
      <c r="AO23" s="49">
        <v>110196875200</v>
      </c>
      <c r="AP23" s="47">
        <v>1065</v>
      </c>
      <c r="AQ23" s="53">
        <v>51</v>
      </c>
      <c r="AR23" s="53">
        <v>22697358141</v>
      </c>
      <c r="AS23" s="53">
        <v>13</v>
      </c>
      <c r="AT23" s="3"/>
      <c r="AU23" s="3"/>
    </row>
    <row r="24" spans="1:47" ht="15" customHeight="1" x14ac:dyDescent="0.4">
      <c r="A24" s="47">
        <v>5</v>
      </c>
      <c r="B24" s="48" t="s">
        <v>57</v>
      </c>
      <c r="C24" s="47" t="s">
        <v>58</v>
      </c>
      <c r="D24" s="47">
        <v>2021</v>
      </c>
      <c r="E24" s="49" t="s">
        <v>59</v>
      </c>
      <c r="F24" s="50">
        <f t="shared" ref="F24:F25" si="3">(2869 + 2869 + 283 + 1430) / 321448153</f>
        <v>2.3179476784861164E-5</v>
      </c>
      <c r="G24" s="50">
        <v>0</v>
      </c>
      <c r="H24" s="50">
        <v>0.51839999999999997</v>
      </c>
      <c r="I24" s="50">
        <f>0.76% + 1%</f>
        <v>1.7600000000000001E-2</v>
      </c>
      <c r="J24" s="52">
        <v>321448153</v>
      </c>
      <c r="K24" s="52">
        <v>516362984812</v>
      </c>
      <c r="L24" s="52">
        <v>516362984812</v>
      </c>
      <c r="M24" s="52">
        <v>4265257318196</v>
      </c>
      <c r="N24" s="52">
        <v>5749197362</v>
      </c>
      <c r="O24" s="52">
        <v>8359530014</v>
      </c>
      <c r="P24" s="52">
        <v>3520000000</v>
      </c>
      <c r="Q24" s="52">
        <v>447151787757</v>
      </c>
      <c r="R24" s="52">
        <v>242582589882</v>
      </c>
      <c r="S24" s="52">
        <v>56288103844</v>
      </c>
      <c r="T24" s="52">
        <f>447151787757 + 24313629257 -
117021657615</f>
        <v>354443759399</v>
      </c>
      <c r="U24" s="52" t="s">
        <v>49</v>
      </c>
      <c r="V24" s="52">
        <v>1310937957</v>
      </c>
      <c r="W24" s="52">
        <v>7781913633</v>
      </c>
      <c r="X24" s="53" t="s">
        <v>49</v>
      </c>
      <c r="Y24" s="53">
        <v>0</v>
      </c>
      <c r="Z24" s="53">
        <v>0</v>
      </c>
      <c r="AA24" s="52">
        <v>236400430500</v>
      </c>
      <c r="AB24" s="52">
        <v>9730</v>
      </c>
      <c r="AC24" s="52">
        <v>3942043040135</v>
      </c>
      <c r="AD24" s="26">
        <f t="shared" si="0"/>
        <v>3127690528690</v>
      </c>
      <c r="AE24" s="52">
        <v>323214278061</v>
      </c>
      <c r="AF24" s="49">
        <v>-81668407309</v>
      </c>
      <c r="AG24" s="47">
        <v>0</v>
      </c>
      <c r="AH24" s="49">
        <v>-90039047410</v>
      </c>
      <c r="AI24" s="49">
        <v>80630981005</v>
      </c>
      <c r="AJ24" s="54">
        <v>32508769940</v>
      </c>
      <c r="AK24" s="49">
        <v>802198494179</v>
      </c>
      <c r="AL24" s="49">
        <v>290705508121</v>
      </c>
      <c r="AM24" s="55">
        <f>-17.45/100</f>
        <v>-0.17449999999999999</v>
      </c>
      <c r="AN24" s="47">
        <v>241383767154</v>
      </c>
      <c r="AO24" s="47">
        <v>0</v>
      </c>
      <c r="AP24" s="47">
        <v>724</v>
      </c>
      <c r="AQ24" s="53">
        <v>34</v>
      </c>
      <c r="AR24" s="53">
        <v>21962583899</v>
      </c>
      <c r="AS24" s="53">
        <v>14</v>
      </c>
      <c r="AT24" s="3"/>
      <c r="AU24" s="3"/>
    </row>
    <row r="25" spans="1:47" ht="15" customHeight="1" x14ac:dyDescent="0.4">
      <c r="A25" s="47">
        <v>5</v>
      </c>
      <c r="B25" s="48" t="s">
        <v>57</v>
      </c>
      <c r="C25" s="47" t="s">
        <v>58</v>
      </c>
      <c r="D25" s="47">
        <v>2022</v>
      </c>
      <c r="E25" s="49" t="s">
        <v>59</v>
      </c>
      <c r="F25" s="50">
        <f t="shared" si="3"/>
        <v>2.3179476784861164E-5</v>
      </c>
      <c r="G25" s="50">
        <v>0</v>
      </c>
      <c r="H25" s="50">
        <v>0.51839999999999997</v>
      </c>
      <c r="I25" s="50">
        <f>0.66% + 0.88%</f>
        <v>1.54E-2</v>
      </c>
      <c r="J25" s="51">
        <v>321448153</v>
      </c>
      <c r="K25" s="52">
        <v>385322979961</v>
      </c>
      <c r="L25" s="52">
        <v>385295202184</v>
      </c>
      <c r="M25" s="52">
        <v>4492591095510</v>
      </c>
      <c r="N25" s="52">
        <v>6273637784</v>
      </c>
      <c r="O25" s="52">
        <v>12802458637</v>
      </c>
      <c r="P25" s="52">
        <v>3520000000</v>
      </c>
      <c r="Q25" s="52">
        <v>347524873255</v>
      </c>
      <c r="R25" s="52">
        <v>220585710162</v>
      </c>
      <c r="S25" s="52">
        <v>95847556428</v>
      </c>
      <c r="T25" s="52">
        <f>3475248732 + 421704837549 - 243136299257</f>
        <v>182043787024</v>
      </c>
      <c r="U25" s="52">
        <v>53367776622</v>
      </c>
      <c r="V25" s="52">
        <v>2458194888</v>
      </c>
      <c r="W25" s="52">
        <v>125437749633</v>
      </c>
      <c r="X25" s="53" t="s">
        <v>49</v>
      </c>
      <c r="Y25" s="53">
        <v>0</v>
      </c>
      <c r="Z25" s="53">
        <v>0</v>
      </c>
      <c r="AA25" s="52">
        <v>224612752243</v>
      </c>
      <c r="AB25" s="52">
        <v>3140</v>
      </c>
      <c r="AC25" s="52">
        <v>4166136529341</v>
      </c>
      <c r="AD25" s="26">
        <f t="shared" si="0"/>
        <v>1009347200420</v>
      </c>
      <c r="AE25" s="52">
        <v>326454566169</v>
      </c>
      <c r="AF25" s="49">
        <v>-167110009272</v>
      </c>
      <c r="AG25" s="49">
        <v>1142127636</v>
      </c>
      <c r="AH25" s="49">
        <v>295150526094</v>
      </c>
      <c r="AI25" s="49">
        <v>237757092560</v>
      </c>
      <c r="AJ25" s="54">
        <v>11307957947</v>
      </c>
      <c r="AK25" s="49">
        <v>1231562458402</v>
      </c>
      <c r="AL25" s="49">
        <v>315146608222</v>
      </c>
      <c r="AM25" s="55">
        <f>-4.99/100</f>
        <v>-4.99E-2</v>
      </c>
      <c r="AN25" s="56">
        <v>416808118989</v>
      </c>
      <c r="AO25" s="47">
        <v>0</v>
      </c>
      <c r="AP25" s="47">
        <v>691</v>
      </c>
      <c r="AQ25" s="53">
        <v>16</v>
      </c>
      <c r="AR25" s="53">
        <v>19633837779</v>
      </c>
      <c r="AS25" s="53">
        <v>15</v>
      </c>
      <c r="AT25" s="3"/>
      <c r="AU25" s="3"/>
    </row>
    <row r="26" spans="1:47" ht="15" customHeight="1" x14ac:dyDescent="0.4">
      <c r="A26" s="47">
        <v>5</v>
      </c>
      <c r="B26" s="48" t="s">
        <v>57</v>
      </c>
      <c r="C26" s="47" t="s">
        <v>58</v>
      </c>
      <c r="D26" s="47">
        <v>2023</v>
      </c>
      <c r="E26" s="49" t="s">
        <v>59</v>
      </c>
      <c r="F26" s="50">
        <f>(3098 + 3098 + 305 + 1544) / J26</f>
        <v>2.3173705142148387E-5</v>
      </c>
      <c r="G26" s="50">
        <v>0</v>
      </c>
      <c r="H26" s="50">
        <v>0.52249999999999996</v>
      </c>
      <c r="I26" s="50">
        <v>1.04E-2</v>
      </c>
      <c r="J26" s="52">
        <v>347160713</v>
      </c>
      <c r="K26" s="52">
        <v>366584514938</v>
      </c>
      <c r="L26" s="52">
        <v>366575255679</v>
      </c>
      <c r="M26" s="52">
        <v>4673591233738</v>
      </c>
      <c r="N26" s="52">
        <v>26143107407</v>
      </c>
      <c r="O26" s="52">
        <v>9937165626</v>
      </c>
      <c r="P26" s="52">
        <v>3520000000</v>
      </c>
      <c r="Q26" s="52">
        <v>325971613689</v>
      </c>
      <c r="R26" s="52">
        <v>351185158438</v>
      </c>
      <c r="S26" s="52">
        <v>72483187121</v>
      </c>
      <c r="T26" s="52">
        <f>325971613689 + 261415803592 - 421704837549</f>
        <v>165682579732</v>
      </c>
      <c r="U26" s="52">
        <v>20939698800</v>
      </c>
      <c r="V26" s="52">
        <v>5893435270</v>
      </c>
      <c r="W26" s="52">
        <v>137176111004</v>
      </c>
      <c r="X26" s="53" t="s">
        <v>49</v>
      </c>
      <c r="Y26" s="53">
        <v>0</v>
      </c>
      <c r="Z26" s="53">
        <v>0</v>
      </c>
      <c r="AA26" s="52">
        <v>351850830642</v>
      </c>
      <c r="AB26" s="52">
        <v>6780</v>
      </c>
      <c r="AC26" s="52">
        <v>4501280877390</v>
      </c>
      <c r="AD26" s="26">
        <f t="shared" si="0"/>
        <v>2353749634140</v>
      </c>
      <c r="AE26" s="52">
        <v>172310356348</v>
      </c>
      <c r="AF26" s="49">
        <v>82896862894</v>
      </c>
      <c r="AG26" s="49">
        <v>264363751855</v>
      </c>
      <c r="AH26" s="49">
        <v>-87435159943</v>
      </c>
      <c r="AI26" s="49">
        <v>94879567912</v>
      </c>
      <c r="AJ26" s="54">
        <v>666125596</v>
      </c>
      <c r="AK26" s="49">
        <v>1036383290648</v>
      </c>
      <c r="AL26" s="49">
        <v>171644230752</v>
      </c>
      <c r="AM26" s="55">
        <f>56.65/100</f>
        <v>0.5665</v>
      </c>
      <c r="AN26" s="47">
        <v>261329528294</v>
      </c>
      <c r="AO26" s="49">
        <v>30012005</v>
      </c>
      <c r="AP26" s="47">
        <v>1042</v>
      </c>
      <c r="AQ26" s="53">
        <v>42</v>
      </c>
      <c r="AR26" s="53">
        <v>3593331042</v>
      </c>
      <c r="AS26" s="53">
        <v>16</v>
      </c>
      <c r="AT26" s="3"/>
      <c r="AU26" s="3"/>
    </row>
    <row r="27" spans="1:47" ht="15" customHeight="1" x14ac:dyDescent="0.4">
      <c r="A27" s="47">
        <v>5</v>
      </c>
      <c r="B27" s="48" t="s">
        <v>57</v>
      </c>
      <c r="C27" s="47" t="s">
        <v>58</v>
      </c>
      <c r="D27" s="47">
        <v>2024</v>
      </c>
      <c r="E27" s="49" t="s">
        <v>59</v>
      </c>
      <c r="F27" s="50">
        <v>0</v>
      </c>
      <c r="G27" s="50">
        <v>0</v>
      </c>
      <c r="H27" s="50">
        <v>0.51849999999999996</v>
      </c>
      <c r="I27" s="50">
        <v>5.1299999999999998E-2</v>
      </c>
      <c r="J27" s="52">
        <v>367985968</v>
      </c>
      <c r="K27" s="52">
        <v>571225175340</v>
      </c>
      <c r="L27" s="52">
        <v>571225175340</v>
      </c>
      <c r="M27" s="52">
        <v>5476784639289</v>
      </c>
      <c r="N27" s="52">
        <v>31680663376</v>
      </c>
      <c r="O27" s="52">
        <v>9919964567</v>
      </c>
      <c r="P27" s="52">
        <v>3520000000</v>
      </c>
      <c r="Q27" s="52">
        <v>507294868001</v>
      </c>
      <c r="R27" s="52">
        <v>373373166724</v>
      </c>
      <c r="S27" s="52">
        <v>120562062064</v>
      </c>
      <c r="T27" s="52">
        <f>507294868001 + 387767964174 - 261415803592</f>
        <v>633647028583</v>
      </c>
      <c r="U27" s="52" t="s">
        <v>49</v>
      </c>
      <c r="V27" s="52">
        <v>5295552706</v>
      </c>
      <c r="W27" s="52">
        <v>178597950003</v>
      </c>
      <c r="X27" s="53" t="s">
        <v>49</v>
      </c>
      <c r="Y27" s="53">
        <v>0</v>
      </c>
      <c r="Z27" s="53">
        <v>0</v>
      </c>
      <c r="AA27" s="52">
        <v>368615735832</v>
      </c>
      <c r="AB27" s="52">
        <v>7420</v>
      </c>
      <c r="AC27" s="52">
        <v>4846403176551</v>
      </c>
      <c r="AD27" s="26">
        <f t="shared" si="0"/>
        <v>2730455882560</v>
      </c>
      <c r="AE27" s="52">
        <v>630381462738</v>
      </c>
      <c r="AF27" s="49">
        <v>290613228514</v>
      </c>
      <c r="AG27" s="49">
        <v>26668692160</v>
      </c>
      <c r="AH27" s="49">
        <v>-311889311155</v>
      </c>
      <c r="AI27" s="49">
        <v>72978921652</v>
      </c>
      <c r="AJ27" s="54">
        <v>1558679878</v>
      </c>
      <c r="AK27" s="49">
        <v>1555096250134</v>
      </c>
      <c r="AL27" s="49">
        <v>628822782860</v>
      </c>
      <c r="AM27" s="55">
        <f>4.76/100</f>
        <v>4.7599999999999996E-2</v>
      </c>
      <c r="AN27" s="57">
        <v>386371652862</v>
      </c>
      <c r="AO27" s="49">
        <v>12357884</v>
      </c>
      <c r="AP27" s="47">
        <v>998</v>
      </c>
      <c r="AQ27" s="53">
        <v>44</v>
      </c>
      <c r="AR27" s="53">
        <v>25270997933</v>
      </c>
      <c r="AS27" s="53">
        <v>17</v>
      </c>
      <c r="AT27" s="3"/>
      <c r="AU27" s="3"/>
    </row>
    <row r="28" spans="1:47" ht="15" customHeight="1" x14ac:dyDescent="0.4">
      <c r="A28" s="58">
        <v>6</v>
      </c>
      <c r="B28" s="59" t="s">
        <v>60</v>
      </c>
      <c r="C28" s="58" t="s">
        <v>61</v>
      </c>
      <c r="D28" s="58">
        <v>2020</v>
      </c>
      <c r="E28" s="58" t="s">
        <v>48</v>
      </c>
      <c r="F28" s="60">
        <f>19.74%</f>
        <v>0.19739999999999999</v>
      </c>
      <c r="G28" s="60">
        <v>0</v>
      </c>
      <c r="H28" s="60">
        <v>0</v>
      </c>
      <c r="I28" s="60">
        <f>3.21%</f>
        <v>3.2099999999999997E-2</v>
      </c>
      <c r="J28" s="61">
        <v>117248510</v>
      </c>
      <c r="K28" s="59">
        <v>3536254793538</v>
      </c>
      <c r="L28" s="59">
        <v>3536254793538</v>
      </c>
      <c r="M28" s="59">
        <v>6132492672781</v>
      </c>
      <c r="N28" s="59">
        <v>7782720007</v>
      </c>
      <c r="O28" s="58">
        <v>159691422387</v>
      </c>
      <c r="P28" s="61">
        <v>394270897</v>
      </c>
      <c r="Q28" s="59">
        <v>3231236173312</v>
      </c>
      <c r="R28" s="58">
        <v>371690914562</v>
      </c>
      <c r="S28" s="61" t="s">
        <v>49</v>
      </c>
      <c r="T28" s="61">
        <f>3231236173312 + 573907426958 - 824798589199</f>
        <v>2980345011071</v>
      </c>
      <c r="U28" s="61">
        <v>420951355142</v>
      </c>
      <c r="V28" s="61" t="s">
        <v>49</v>
      </c>
      <c r="W28" s="61" t="s">
        <v>49</v>
      </c>
      <c r="X28" s="62" t="s">
        <v>49</v>
      </c>
      <c r="Y28" s="62">
        <v>0</v>
      </c>
      <c r="Z28" s="62">
        <v>0</v>
      </c>
      <c r="AA28" s="59">
        <v>311718851697</v>
      </c>
      <c r="AB28" s="59">
        <v>8890</v>
      </c>
      <c r="AC28" s="59">
        <v>1846383206894</v>
      </c>
      <c r="AD28" s="31">
        <f t="shared" si="0"/>
        <v>1042339253900</v>
      </c>
      <c r="AE28" s="59">
        <v>4286109465887</v>
      </c>
      <c r="AF28" s="58">
        <v>484838381938</v>
      </c>
      <c r="AG28" s="59">
        <v>445121164063</v>
      </c>
      <c r="AH28" s="59">
        <v>-500195020885</v>
      </c>
      <c r="AI28" s="59">
        <v>242176851079</v>
      </c>
      <c r="AJ28" s="59">
        <v>731794455450</v>
      </c>
      <c r="AK28" s="59">
        <v>3980558292219</v>
      </c>
      <c r="AL28" s="59">
        <v>3446967188013</v>
      </c>
      <c r="AM28" s="63">
        <f>60.88/100</f>
        <v>0.60880000000000001</v>
      </c>
      <c r="AN28" s="59">
        <v>573907426958</v>
      </c>
      <c r="AO28" s="58">
        <v>0</v>
      </c>
      <c r="AP28" s="58">
        <v>2430</v>
      </c>
      <c r="AQ28" s="62">
        <v>330</v>
      </c>
      <c r="AR28" s="62">
        <v>1254529098974</v>
      </c>
      <c r="AS28" s="62">
        <f>2020 - 2001 +1</f>
        <v>20</v>
      </c>
      <c r="AT28" s="4"/>
      <c r="AU28" s="4"/>
    </row>
    <row r="29" spans="1:47" ht="15" customHeight="1" x14ac:dyDescent="0.4">
      <c r="A29" s="58">
        <v>6</v>
      </c>
      <c r="B29" s="59" t="s">
        <v>60</v>
      </c>
      <c r="C29" s="58" t="s">
        <v>61</v>
      </c>
      <c r="D29" s="58">
        <v>2021</v>
      </c>
      <c r="E29" s="58" t="s">
        <v>48</v>
      </c>
      <c r="F29" s="60">
        <f>4.17% + 0.05% + 7.71% + 0.05% + 0.64% + 0.04% + 0.42% + 0.02%</f>
        <v>0.13100000000000003</v>
      </c>
      <c r="G29" s="60">
        <v>0</v>
      </c>
      <c r="H29" s="60">
        <f>1.64 / 100</f>
        <v>1.6399999999999998E-2</v>
      </c>
      <c r="I29" s="60">
        <f>2.44/100</f>
        <v>2.4399999999999998E-2</v>
      </c>
      <c r="J29" s="61">
        <v>174404824</v>
      </c>
      <c r="K29" s="59">
        <v>1802653972149</v>
      </c>
      <c r="L29" s="58">
        <v>1802653972149</v>
      </c>
      <c r="M29" s="59">
        <v>5804533486116</v>
      </c>
      <c r="N29" s="59">
        <v>16897258501</v>
      </c>
      <c r="O29" s="59">
        <v>83701975089</v>
      </c>
      <c r="P29" s="61">
        <v>197326616</v>
      </c>
      <c r="Q29" s="58">
        <v>1373857600368</v>
      </c>
      <c r="R29" s="59">
        <v>236136059326</v>
      </c>
      <c r="S29" s="61" t="s">
        <v>49</v>
      </c>
      <c r="T29" s="61">
        <f>1373857600368 + 836549605500-573907426958</f>
        <v>1636499778910</v>
      </c>
      <c r="U29" s="61">
        <v>723831175556</v>
      </c>
      <c r="V29" s="61" t="s">
        <v>49</v>
      </c>
      <c r="W29" s="61" t="s">
        <v>49</v>
      </c>
      <c r="X29" s="62" t="s">
        <v>49</v>
      </c>
      <c r="Y29" s="62">
        <v>0</v>
      </c>
      <c r="Z29" s="62">
        <v>0</v>
      </c>
      <c r="AA29" s="59">
        <v>180810348005</v>
      </c>
      <c r="AB29" s="59">
        <v>16550</v>
      </c>
      <c r="AC29" s="59">
        <v>2388616876129</v>
      </c>
      <c r="AD29" s="31">
        <f t="shared" si="0"/>
        <v>2886399837200</v>
      </c>
      <c r="AE29" s="59">
        <v>3415916609987</v>
      </c>
      <c r="AF29" s="59">
        <v>319291437493</v>
      </c>
      <c r="AG29" s="59">
        <v>1511636289</v>
      </c>
      <c r="AH29" s="58">
        <v>-226207294005</v>
      </c>
      <c r="AI29" s="59">
        <v>256136123821</v>
      </c>
      <c r="AJ29" s="58">
        <v>743250603677</v>
      </c>
      <c r="AK29" s="58">
        <v>3667580449339</v>
      </c>
      <c r="AL29" s="59">
        <v>2564472237878</v>
      </c>
      <c r="AM29" s="63">
        <f>-41/100</f>
        <v>-0.41</v>
      </c>
      <c r="AN29" s="59">
        <v>836549605500</v>
      </c>
      <c r="AO29" s="59">
        <v>80673720400</v>
      </c>
      <c r="AP29" s="58">
        <v>1270</v>
      </c>
      <c r="AQ29" s="62">
        <v>395</v>
      </c>
      <c r="AR29" s="62">
        <v>1146859917914</v>
      </c>
      <c r="AS29" s="62">
        <v>21</v>
      </c>
      <c r="AT29" s="4"/>
      <c r="AU29" s="4"/>
    </row>
    <row r="30" spans="1:47" ht="15" customHeight="1" x14ac:dyDescent="0.4">
      <c r="A30" s="58">
        <v>6</v>
      </c>
      <c r="B30" s="59" t="s">
        <v>60</v>
      </c>
      <c r="C30" s="58" t="s">
        <v>61</v>
      </c>
      <c r="D30" s="58">
        <v>2022</v>
      </c>
      <c r="E30" s="58" t="s">
        <v>48</v>
      </c>
      <c r="F30" s="60">
        <f>3.0227% + 0.643% + 7.714% + 0.051%</f>
        <v>0.11430700000000001</v>
      </c>
      <c r="G30" s="60">
        <v>0</v>
      </c>
      <c r="H30" s="60">
        <f>0.988%</f>
        <v>9.8799999999999999E-3</v>
      </c>
      <c r="I30" s="64">
        <f>1.953/100</f>
        <v>1.9530000000000002E-2</v>
      </c>
      <c r="J30" s="61">
        <v>191641170</v>
      </c>
      <c r="K30" s="59">
        <v>1005840232313</v>
      </c>
      <c r="L30" s="59">
        <v>1005840232313</v>
      </c>
      <c r="M30" s="58">
        <v>5047843826481</v>
      </c>
      <c r="N30" s="58">
        <v>0</v>
      </c>
      <c r="O30" s="58">
        <v>78998735273</v>
      </c>
      <c r="P30" s="61">
        <v>50031616</v>
      </c>
      <c r="Q30" s="59">
        <v>876947478997</v>
      </c>
      <c r="R30" s="59">
        <v>256805357760</v>
      </c>
      <c r="S30" s="61">
        <v>434815637604</v>
      </c>
      <c r="T30" s="61">
        <f>876947478997 + 1183591699927 - 836549605500</f>
        <v>1223989573424</v>
      </c>
      <c r="U30" s="61">
        <v>951110822647</v>
      </c>
      <c r="V30" s="61">
        <v>1199833648508</v>
      </c>
      <c r="W30" s="61">
        <v>1857427044935</v>
      </c>
      <c r="X30" s="62" t="s">
        <v>49</v>
      </c>
      <c r="Y30" s="62">
        <v>0</v>
      </c>
      <c r="Z30" s="62">
        <v>0</v>
      </c>
      <c r="AA30" s="59">
        <v>194287025000</v>
      </c>
      <c r="AB30" s="59">
        <v>6270</v>
      </c>
      <c r="AC30" s="59">
        <v>2583007776888</v>
      </c>
      <c r="AD30" s="31">
        <f t="shared" si="0"/>
        <v>1201590135900</v>
      </c>
      <c r="AE30" s="59">
        <v>2464836049593</v>
      </c>
      <c r="AF30" s="59">
        <v>-924070697367</v>
      </c>
      <c r="AG30" s="59">
        <v>20761091601</v>
      </c>
      <c r="AH30" s="58">
        <v>663186136647</v>
      </c>
      <c r="AI30" s="58">
        <v>100866753630</v>
      </c>
      <c r="AJ30" s="59">
        <v>73284272746</v>
      </c>
      <c r="AK30" s="59">
        <v>3869585657302</v>
      </c>
      <c r="AL30" s="59">
        <v>2280442537100</v>
      </c>
      <c r="AM30" s="63">
        <f>7.45/100</f>
        <v>7.4499999999999997E-2</v>
      </c>
      <c r="AN30" s="59">
        <v>1183591699927</v>
      </c>
      <c r="AO30" s="59">
        <v>3993325</v>
      </c>
      <c r="AP30" s="58">
        <v>835</v>
      </c>
      <c r="AQ30" s="62">
        <v>391</v>
      </c>
      <c r="AR30" s="62">
        <v>165439125041</v>
      </c>
      <c r="AS30" s="62">
        <v>22</v>
      </c>
      <c r="AT30" s="4"/>
      <c r="AU30" s="4"/>
    </row>
    <row r="31" spans="1:47" ht="15" customHeight="1" x14ac:dyDescent="0.4">
      <c r="A31" s="58">
        <v>6</v>
      </c>
      <c r="B31" s="59" t="s">
        <v>60</v>
      </c>
      <c r="C31" s="58" t="s">
        <v>61</v>
      </c>
      <c r="D31" s="58">
        <v>2023</v>
      </c>
      <c r="E31" s="58" t="s">
        <v>48</v>
      </c>
      <c r="F31" s="60">
        <f>3.03% + 0.64% + 5.1% + 0.05%</f>
        <v>8.8200000000000001E-2</v>
      </c>
      <c r="G31" s="60">
        <v>0</v>
      </c>
      <c r="H31" s="60">
        <f>0.922%</f>
        <v>9.2200000000000008E-3</v>
      </c>
      <c r="I31" s="60">
        <f>2.029/100</f>
        <v>2.0289999999999999E-2</v>
      </c>
      <c r="J31" s="61">
        <v>191641170</v>
      </c>
      <c r="K31" s="59">
        <v>2007948933386</v>
      </c>
      <c r="L31" s="59">
        <v>2007948933386</v>
      </c>
      <c r="M31" s="59">
        <v>5979135351215</v>
      </c>
      <c r="N31" s="58">
        <v>0</v>
      </c>
      <c r="O31" s="59">
        <v>107336396420</v>
      </c>
      <c r="P31" s="65">
        <v>0</v>
      </c>
      <c r="Q31" s="59">
        <v>1722779557756</v>
      </c>
      <c r="R31" s="59">
        <v>133686990546</v>
      </c>
      <c r="S31" s="61">
        <v>920936837319</v>
      </c>
      <c r="T31" s="61">
        <f>1722779557756 + 1467488974976 - 1183591699927</f>
        <v>2006676832805</v>
      </c>
      <c r="U31" s="61">
        <v>1312587016750</v>
      </c>
      <c r="V31" s="61">
        <v>1097078079547</v>
      </c>
      <c r="W31" s="61">
        <v>2353969177651</v>
      </c>
      <c r="X31" s="62" t="s">
        <v>49</v>
      </c>
      <c r="Y31" s="62">
        <v>0</v>
      </c>
      <c r="Z31" s="62">
        <v>0</v>
      </c>
      <c r="AA31" s="59">
        <v>101569790493</v>
      </c>
      <c r="AB31" s="59">
        <v>10680</v>
      </c>
      <c r="AC31" s="59">
        <v>2538204172588</v>
      </c>
      <c r="AD31" s="31">
        <f t="shared" si="0"/>
        <v>2046727695600</v>
      </c>
      <c r="AE31" s="58">
        <v>3440931178627</v>
      </c>
      <c r="AF31" s="58">
        <v>726750668240</v>
      </c>
      <c r="AG31" s="59">
        <v>14239786886</v>
      </c>
      <c r="AH31" s="59">
        <v>-38761204958</v>
      </c>
      <c r="AI31" s="59">
        <v>731958407866</v>
      </c>
      <c r="AJ31" s="59">
        <v>151904397901</v>
      </c>
      <c r="AK31" s="59">
        <v>4819620232177</v>
      </c>
      <c r="AL31" s="59">
        <v>3287661160726</v>
      </c>
      <c r="AM31" s="63">
        <f>-47.72/100</f>
        <v>-0.47720000000000001</v>
      </c>
      <c r="AN31" s="59">
        <v>1467488974976</v>
      </c>
      <c r="AO31" s="58">
        <v>132748582400</v>
      </c>
      <c r="AP31" s="58">
        <v>519</v>
      </c>
      <c r="AQ31" s="66">
        <v>662</v>
      </c>
      <c r="AR31" s="62">
        <v>130598375532</v>
      </c>
      <c r="AS31" s="62">
        <v>23</v>
      </c>
      <c r="AT31" s="4"/>
      <c r="AU31" s="4"/>
    </row>
    <row r="32" spans="1:47" ht="15.45" x14ac:dyDescent="0.4">
      <c r="A32" s="58">
        <v>6</v>
      </c>
      <c r="B32" s="59" t="s">
        <v>60</v>
      </c>
      <c r="C32" s="58" t="s">
        <v>61</v>
      </c>
      <c r="D32" s="58">
        <v>2024</v>
      </c>
      <c r="E32" s="58" t="s">
        <v>48</v>
      </c>
      <c r="F32" s="60">
        <f>2.97% + 0.63% + 5.01%</f>
        <v>8.610000000000001E-2</v>
      </c>
      <c r="G32" s="60">
        <v>0</v>
      </c>
      <c r="H32" s="60">
        <f>1.98%</f>
        <v>1.9799999999999998E-2</v>
      </c>
      <c r="I32" s="60">
        <f>2.08/100</f>
        <v>2.0799999999999999E-2</v>
      </c>
      <c r="J32" s="61">
        <v>195091170</v>
      </c>
      <c r="K32" s="59">
        <v>2817129128166</v>
      </c>
      <c r="L32" s="58">
        <v>2817129128166</v>
      </c>
      <c r="M32" s="59">
        <v>6019865872228</v>
      </c>
      <c r="N32" s="58">
        <v>0</v>
      </c>
      <c r="O32" s="58">
        <v>158344329644</v>
      </c>
      <c r="P32" s="65">
        <v>0</v>
      </c>
      <c r="Q32" s="59">
        <v>2473270542271</v>
      </c>
      <c r="R32" s="58">
        <v>158392961338</v>
      </c>
      <c r="S32" s="61">
        <v>2274217131481</v>
      </c>
      <c r="T32" s="61">
        <f>2473270542271+2055564927611 - 1491707393429</f>
        <v>3037128076453</v>
      </c>
      <c r="U32" s="61">
        <v>1986998507280</v>
      </c>
      <c r="V32" s="61">
        <v>898906863271</v>
      </c>
      <c r="W32" s="61">
        <v>3516031472905</v>
      </c>
      <c r="X32" s="62" t="s">
        <v>49</v>
      </c>
      <c r="Y32" s="62">
        <v>0</v>
      </c>
      <c r="Z32" s="62">
        <v>0</v>
      </c>
      <c r="AA32" s="59">
        <v>120453054649</v>
      </c>
      <c r="AB32" s="59">
        <v>9660</v>
      </c>
      <c r="AC32" s="58">
        <v>2591111832752</v>
      </c>
      <c r="AD32" s="31">
        <f t="shared" si="0"/>
        <v>1884580702200</v>
      </c>
      <c r="AE32" s="58">
        <v>3428754039476</v>
      </c>
      <c r="AF32" s="58">
        <v>-530186158383</v>
      </c>
      <c r="AG32" s="59">
        <v>13649504574</v>
      </c>
      <c r="AH32" s="59">
        <v>-117568930637</v>
      </c>
      <c r="AI32" s="58">
        <v>359580486996</v>
      </c>
      <c r="AJ32" s="59">
        <v>170874282121</v>
      </c>
      <c r="AK32" s="59">
        <v>4607206287431</v>
      </c>
      <c r="AL32" s="58">
        <v>3255522223771</v>
      </c>
      <c r="AM32" s="63">
        <f>18.59/100</f>
        <v>0.18590000000000001</v>
      </c>
      <c r="AN32" s="59">
        <v>2055564927611</v>
      </c>
      <c r="AO32" s="58">
        <v>96733903498</v>
      </c>
      <c r="AP32" s="58">
        <v>603</v>
      </c>
      <c r="AQ32" s="62">
        <v>648</v>
      </c>
      <c r="AR32" s="62">
        <v>91862612598</v>
      </c>
      <c r="AS32" s="62">
        <v>24</v>
      </c>
      <c r="AT32" s="4"/>
      <c r="AU32" s="4"/>
    </row>
    <row r="33" spans="1:47" ht="15.45" x14ac:dyDescent="0.4">
      <c r="A33" s="26">
        <v>7</v>
      </c>
      <c r="B33" s="26" t="s">
        <v>62</v>
      </c>
      <c r="C33" s="26" t="s">
        <v>63</v>
      </c>
      <c r="D33" s="26">
        <v>2020</v>
      </c>
      <c r="E33" s="26" t="s">
        <v>64</v>
      </c>
      <c r="F33" s="28">
        <v>2.35E-2</v>
      </c>
      <c r="G33" s="28">
        <v>0</v>
      </c>
      <c r="H33" s="28">
        <v>0.51</v>
      </c>
      <c r="I33" s="28">
        <v>0.49</v>
      </c>
      <c r="J33" s="67">
        <v>301377957</v>
      </c>
      <c r="K33" s="67">
        <v>2605666369829</v>
      </c>
      <c r="L33" s="67">
        <v>2605666369829</v>
      </c>
      <c r="M33" s="67">
        <v>9834544207268</v>
      </c>
      <c r="N33" s="67">
        <v>137355616968</v>
      </c>
      <c r="O33" s="67">
        <v>341473916467</v>
      </c>
      <c r="P33" s="67">
        <v>265286822517</v>
      </c>
      <c r="Q33" s="67">
        <v>1656081835186</v>
      </c>
      <c r="R33" s="67">
        <v>496177747322</v>
      </c>
      <c r="S33" s="67">
        <v>236268080390</v>
      </c>
      <c r="T33" s="67">
        <v>1650667469739</v>
      </c>
      <c r="U33" s="30" t="s">
        <v>49</v>
      </c>
      <c r="V33" s="67">
        <v>955801543470</v>
      </c>
      <c r="W33" s="67">
        <v>2134911368621</v>
      </c>
      <c r="X33" s="30" t="s">
        <v>49</v>
      </c>
      <c r="Y33" s="26">
        <v>1</v>
      </c>
      <c r="Z33" s="26">
        <v>1</v>
      </c>
      <c r="AA33" s="67">
        <v>440475754374</v>
      </c>
      <c r="AB33" s="67">
        <v>24130</v>
      </c>
      <c r="AC33" s="67">
        <v>6594929258004</v>
      </c>
      <c r="AD33" s="26">
        <f t="shared" si="0"/>
        <v>7272250102410</v>
      </c>
      <c r="AE33" s="67">
        <v>3239614949264</v>
      </c>
      <c r="AF33" s="67">
        <v>655364412679</v>
      </c>
      <c r="AG33" s="67">
        <v>215700797051</v>
      </c>
      <c r="AH33" s="67">
        <v>73081956314</v>
      </c>
      <c r="AI33" s="67">
        <v>427676366191</v>
      </c>
      <c r="AJ33" s="67">
        <v>1137739109239</v>
      </c>
      <c r="AK33" s="67">
        <v>1356400253202</v>
      </c>
      <c r="AL33" s="67">
        <v>1745211780685</v>
      </c>
      <c r="AM33" s="28">
        <v>-1.41E-2</v>
      </c>
      <c r="AN33" s="67">
        <v>72966607779</v>
      </c>
      <c r="AO33" s="67">
        <v>353473087928</v>
      </c>
      <c r="AP33" s="67">
        <v>1149</v>
      </c>
      <c r="AQ33" s="67">
        <v>1501</v>
      </c>
      <c r="AR33" s="67">
        <v>2760856086787</v>
      </c>
      <c r="AS33" s="26">
        <v>30</v>
      </c>
      <c r="AT33" s="3"/>
      <c r="AU33" s="3"/>
    </row>
    <row r="34" spans="1:47" ht="15.45" x14ac:dyDescent="0.4">
      <c r="A34" s="26">
        <v>7</v>
      </c>
      <c r="B34" s="26" t="s">
        <v>62</v>
      </c>
      <c r="C34" s="26" t="s">
        <v>63</v>
      </c>
      <c r="D34" s="26">
        <v>2021</v>
      </c>
      <c r="E34" s="26" t="s">
        <v>64</v>
      </c>
      <c r="F34" s="28">
        <v>1.8599999999999998E-2</v>
      </c>
      <c r="G34" s="28">
        <v>0</v>
      </c>
      <c r="H34" s="28">
        <v>0.58340000000000003</v>
      </c>
      <c r="I34" s="28">
        <v>0.41660000000000003</v>
      </c>
      <c r="J34" s="67">
        <v>301377957</v>
      </c>
      <c r="K34" s="67">
        <v>3206290165333</v>
      </c>
      <c r="L34" s="67">
        <v>3206290165333</v>
      </c>
      <c r="M34" s="67">
        <v>10731211063284</v>
      </c>
      <c r="N34" s="67">
        <v>154146091638</v>
      </c>
      <c r="O34" s="67">
        <v>294784653891</v>
      </c>
      <c r="P34" s="67">
        <v>261732779144</v>
      </c>
      <c r="Q34" s="67">
        <v>2064489230639</v>
      </c>
      <c r="R34" s="67">
        <v>861467218736</v>
      </c>
      <c r="S34" s="67">
        <v>224311420703</v>
      </c>
      <c r="T34" s="67">
        <v>2060235441809</v>
      </c>
      <c r="U34" s="30" t="s">
        <v>49</v>
      </c>
      <c r="V34" s="67">
        <v>1263850451575</v>
      </c>
      <c r="W34" s="67">
        <v>2513419976168</v>
      </c>
      <c r="X34" s="30" t="s">
        <v>49</v>
      </c>
      <c r="Y34" s="26">
        <v>1</v>
      </c>
      <c r="Z34" s="26">
        <v>1</v>
      </c>
      <c r="AA34" s="67">
        <v>720561816175</v>
      </c>
      <c r="AB34" s="67">
        <v>35900</v>
      </c>
      <c r="AC34" s="67">
        <v>7044618371909</v>
      </c>
      <c r="AD34" s="26">
        <f t="shared" si="0"/>
        <v>10819468656300</v>
      </c>
      <c r="AE34" s="67">
        <v>3686592691375</v>
      </c>
      <c r="AF34" s="67">
        <v>964817116119</v>
      </c>
      <c r="AG34" s="67">
        <v>586166126553</v>
      </c>
      <c r="AH34" s="67">
        <v>356308892910</v>
      </c>
      <c r="AI34" s="67">
        <v>637348731809</v>
      </c>
      <c r="AJ34" s="67">
        <v>1061243655583</v>
      </c>
      <c r="AK34" s="67">
        <v>1689479334239</v>
      </c>
      <c r="AL34" s="67">
        <v>2262720710817</v>
      </c>
      <c r="AM34" s="28">
        <v>0.23050699999999999</v>
      </c>
      <c r="AN34" s="67">
        <v>68712818949</v>
      </c>
      <c r="AO34" s="67">
        <v>426189423017</v>
      </c>
      <c r="AP34" s="67">
        <v>1869</v>
      </c>
      <c r="AQ34" s="67">
        <v>1535</v>
      </c>
      <c r="AR34" s="67">
        <v>2805698233139</v>
      </c>
      <c r="AS34" s="26">
        <v>31</v>
      </c>
      <c r="AT34" s="3"/>
      <c r="AU34" s="3"/>
    </row>
    <row r="35" spans="1:47" ht="15.45" x14ac:dyDescent="0.4">
      <c r="A35" s="26">
        <v>7</v>
      </c>
      <c r="B35" s="26" t="s">
        <v>62</v>
      </c>
      <c r="C35" s="26" t="s">
        <v>63</v>
      </c>
      <c r="D35" s="26">
        <v>2022</v>
      </c>
      <c r="E35" s="26" t="s">
        <v>64</v>
      </c>
      <c r="F35" s="28">
        <v>1.83E-2</v>
      </c>
      <c r="G35" s="28">
        <v>0</v>
      </c>
      <c r="H35" s="28">
        <v>0.52649999999999997</v>
      </c>
      <c r="I35" s="28">
        <v>0.47349999999999998</v>
      </c>
      <c r="J35" s="67">
        <v>301377957</v>
      </c>
      <c r="K35" s="67">
        <v>3898243608570</v>
      </c>
      <c r="L35" s="67">
        <v>3898243608570</v>
      </c>
      <c r="M35" s="67">
        <v>13030653009572</v>
      </c>
      <c r="N35" s="67">
        <v>142172449496</v>
      </c>
      <c r="O35" s="67">
        <v>524441250459</v>
      </c>
      <c r="P35" s="67">
        <v>261600397517</v>
      </c>
      <c r="Q35" s="67">
        <v>2180183031483</v>
      </c>
      <c r="R35" s="67">
        <v>1308851596298</v>
      </c>
      <c r="S35" s="67">
        <v>323311669432</v>
      </c>
      <c r="T35" s="67">
        <v>2194002665169</v>
      </c>
      <c r="U35" s="30" t="s">
        <v>49</v>
      </c>
      <c r="V35" s="67">
        <v>1333810634392</v>
      </c>
      <c r="W35" s="67">
        <v>2846796731438</v>
      </c>
      <c r="X35" s="30" t="s">
        <v>49</v>
      </c>
      <c r="Y35" s="26">
        <v>1</v>
      </c>
      <c r="Z35" s="26">
        <v>1</v>
      </c>
      <c r="AA35" s="67">
        <v>1161293797024</v>
      </c>
      <c r="AB35" s="67">
        <v>35320</v>
      </c>
      <c r="AC35" s="67">
        <v>7947756019956</v>
      </c>
      <c r="AD35" s="26">
        <f t="shared" si="0"/>
        <v>10644669441240</v>
      </c>
      <c r="AE35" s="67">
        <v>5082896989616</v>
      </c>
      <c r="AF35" s="67">
        <v>2299239828019</v>
      </c>
      <c r="AG35" s="67">
        <v>1365689144155</v>
      </c>
      <c r="AH35" s="67">
        <v>1234745213092</v>
      </c>
      <c r="AI35" s="67">
        <v>1364349572162</v>
      </c>
      <c r="AJ35" s="67">
        <v>1486163237413</v>
      </c>
      <c r="AK35" s="67">
        <v>2618727023263</v>
      </c>
      <c r="AL35" s="67">
        <v>3210578779512</v>
      </c>
      <c r="AM35" s="28">
        <v>0.215811</v>
      </c>
      <c r="AN35" s="67">
        <v>82532452635</v>
      </c>
      <c r="AO35" s="67">
        <v>428119286600</v>
      </c>
      <c r="AP35" s="67">
        <v>3034</v>
      </c>
      <c r="AQ35" s="67">
        <v>1549</v>
      </c>
      <c r="AR35" s="67">
        <v>2956017737527</v>
      </c>
      <c r="AS35" s="26">
        <v>32</v>
      </c>
      <c r="AT35" s="3"/>
      <c r="AU35" s="3"/>
    </row>
    <row r="36" spans="1:47" ht="15.45" x14ac:dyDescent="0.4">
      <c r="A36" s="26">
        <v>7</v>
      </c>
      <c r="B36" s="26" t="s">
        <v>62</v>
      </c>
      <c r="C36" s="26" t="s">
        <v>63</v>
      </c>
      <c r="D36" s="26">
        <v>2023</v>
      </c>
      <c r="E36" s="26" t="s">
        <v>64</v>
      </c>
      <c r="F36" s="28">
        <v>1.9699999999999999E-2</v>
      </c>
      <c r="G36" s="28">
        <v>0</v>
      </c>
      <c r="H36" s="28">
        <v>0.52110000000000001</v>
      </c>
      <c r="I36" s="28">
        <v>0.47889999999999999</v>
      </c>
      <c r="J36" s="67">
        <v>305898557</v>
      </c>
      <c r="K36" s="67">
        <v>3845826296568</v>
      </c>
      <c r="L36" s="67">
        <v>3845826296568</v>
      </c>
      <c r="M36" s="67">
        <v>13546025168428</v>
      </c>
      <c r="N36" s="67">
        <v>109543154417</v>
      </c>
      <c r="O36" s="67">
        <v>551943343263</v>
      </c>
      <c r="P36" s="67">
        <v>258390006902</v>
      </c>
      <c r="Q36" s="67">
        <v>2067811109265</v>
      </c>
      <c r="R36" s="67">
        <v>3177029885915</v>
      </c>
      <c r="S36" s="67">
        <v>291525445177</v>
      </c>
      <c r="T36" s="67">
        <v>2053448423191</v>
      </c>
      <c r="U36" s="30" t="s">
        <v>49</v>
      </c>
      <c r="V36" s="67">
        <v>1314257137815</v>
      </c>
      <c r="W36" s="67">
        <v>2729297606945</v>
      </c>
      <c r="X36" s="30" t="s">
        <v>49</v>
      </c>
      <c r="Y36" s="26">
        <v>1</v>
      </c>
      <c r="Z36" s="26">
        <v>1</v>
      </c>
      <c r="AA36" s="67">
        <v>2533934246423</v>
      </c>
      <c r="AB36" s="67">
        <v>56560</v>
      </c>
      <c r="AC36" s="67">
        <v>9732374052019</v>
      </c>
      <c r="AD36" s="26">
        <f t="shared" si="0"/>
        <v>17301622383920</v>
      </c>
      <c r="AE36" s="67">
        <v>3813651116409</v>
      </c>
      <c r="AF36" s="67">
        <v>-2870318244</v>
      </c>
      <c r="AG36" s="67">
        <v>1177219493538</v>
      </c>
      <c r="AH36" s="67">
        <v>915396272136</v>
      </c>
      <c r="AI36" s="67">
        <v>1471676297950</v>
      </c>
      <c r="AJ36" s="67">
        <v>1518388232315</v>
      </c>
      <c r="AK36" s="67">
        <v>3380201263412</v>
      </c>
      <c r="AL36" s="67">
        <v>1915337161256</v>
      </c>
      <c r="AM36" s="28">
        <v>-1.3446E-2</v>
      </c>
      <c r="AN36" s="67">
        <v>68169766561</v>
      </c>
      <c r="AO36" s="67">
        <v>780370623043</v>
      </c>
      <c r="AP36" s="67">
        <v>7207</v>
      </c>
      <c r="AQ36" s="67">
        <v>1498</v>
      </c>
      <c r="AR36" s="67">
        <v>3891229902798</v>
      </c>
      <c r="AS36" s="26">
        <v>33</v>
      </c>
      <c r="AT36" s="3"/>
      <c r="AU36" s="3"/>
    </row>
    <row r="37" spans="1:47" ht="15.45" x14ac:dyDescent="0.4">
      <c r="A37" s="26">
        <v>7</v>
      </c>
      <c r="B37" s="26" t="s">
        <v>62</v>
      </c>
      <c r="C37" s="26" t="s">
        <v>63</v>
      </c>
      <c r="D37" s="26">
        <v>2024</v>
      </c>
      <c r="E37" s="26" t="s">
        <v>64</v>
      </c>
      <c r="F37" s="28">
        <v>2.0799999999999999E-2</v>
      </c>
      <c r="G37" s="28">
        <v>0</v>
      </c>
      <c r="H37" s="28">
        <v>0.54579999999999995</v>
      </c>
      <c r="I37" s="28">
        <v>0.45419999999999999</v>
      </c>
      <c r="J37" s="67">
        <v>413982609</v>
      </c>
      <c r="K37" s="67">
        <v>4832024798961</v>
      </c>
      <c r="L37" s="67">
        <v>4832024798961</v>
      </c>
      <c r="M37" s="67">
        <v>17997853312717</v>
      </c>
      <c r="N37" s="67">
        <v>247200313981</v>
      </c>
      <c r="O37" s="67">
        <v>574838485710</v>
      </c>
      <c r="P37" s="67">
        <v>247080815320</v>
      </c>
      <c r="Q37" s="67">
        <v>2696544401941</v>
      </c>
      <c r="R37" s="67">
        <v>2418584028235</v>
      </c>
      <c r="S37" s="67">
        <v>332229964623</v>
      </c>
      <c r="T37" s="67">
        <v>2711794460435</v>
      </c>
      <c r="U37" s="30" t="s">
        <v>49</v>
      </c>
      <c r="V37" s="67">
        <v>1788643590852</v>
      </c>
      <c r="W37" s="67">
        <v>3518583201632</v>
      </c>
      <c r="X37" s="30" t="s">
        <v>49</v>
      </c>
      <c r="Y37" s="26">
        <v>1</v>
      </c>
      <c r="Z37" s="26">
        <v>1</v>
      </c>
      <c r="AA37" s="67">
        <v>1923583483411</v>
      </c>
      <c r="AB37" s="67">
        <v>63100</v>
      </c>
      <c r="AC37" s="67">
        <v>13771926002556</v>
      </c>
      <c r="AD37" s="26">
        <f t="shared" si="0"/>
        <v>26122302627900</v>
      </c>
      <c r="AE37" s="67">
        <v>4225927310161</v>
      </c>
      <c r="AF37" s="67">
        <v>1526822551805</v>
      </c>
      <c r="AG37" s="67">
        <v>1479931826076</v>
      </c>
      <c r="AH37" s="67">
        <v>1375722020449</v>
      </c>
      <c r="AI37" s="67">
        <v>3964316764607</v>
      </c>
      <c r="AJ37" s="67">
        <v>1745343469594</v>
      </c>
      <c r="AK37" s="67">
        <v>6673567765409</v>
      </c>
      <c r="AL37" s="67">
        <v>2100758451703</v>
      </c>
      <c r="AM37" s="28">
        <v>0.25643300000000002</v>
      </c>
      <c r="AN37" s="67">
        <v>83419825055</v>
      </c>
      <c r="AO37" s="67">
        <v>916107445304</v>
      </c>
      <c r="AP37" s="67">
        <v>4276</v>
      </c>
      <c r="AQ37" s="67">
        <v>1544</v>
      </c>
      <c r="AR37" s="67">
        <v>3786073252479</v>
      </c>
      <c r="AS37" s="26">
        <v>34</v>
      </c>
      <c r="AT37" s="3"/>
      <c r="AU37" s="3"/>
    </row>
    <row r="38" spans="1:47" ht="15.45" x14ac:dyDescent="0.4">
      <c r="A38" s="31">
        <v>8</v>
      </c>
      <c r="B38" s="31" t="s">
        <v>65</v>
      </c>
      <c r="C38" s="31" t="s">
        <v>66</v>
      </c>
      <c r="D38" s="31">
        <v>2020</v>
      </c>
      <c r="E38" s="31" t="s">
        <v>64</v>
      </c>
      <c r="F38" s="32">
        <v>0.212088</v>
      </c>
      <c r="G38" s="32">
        <v>0</v>
      </c>
      <c r="H38" s="32">
        <v>0.28289999999999998</v>
      </c>
      <c r="I38" s="32">
        <v>0.1419</v>
      </c>
      <c r="J38" s="68">
        <v>47392798</v>
      </c>
      <c r="K38" s="68">
        <v>1191667202379</v>
      </c>
      <c r="L38" s="68">
        <v>1191667202379</v>
      </c>
      <c r="M38" s="68">
        <v>2094551278545</v>
      </c>
      <c r="N38" s="68">
        <v>0</v>
      </c>
      <c r="O38" s="68">
        <v>67886331138</v>
      </c>
      <c r="P38" s="68">
        <v>2617588857</v>
      </c>
      <c r="Q38" s="68">
        <v>952285475767</v>
      </c>
      <c r="R38" s="68">
        <v>169751536861</v>
      </c>
      <c r="S38" s="68">
        <v>303091015713</v>
      </c>
      <c r="T38" s="68">
        <v>944787035277</v>
      </c>
      <c r="U38" s="33" t="s">
        <v>49</v>
      </c>
      <c r="V38" s="68">
        <v>356054165736</v>
      </c>
      <c r="W38" s="68">
        <v>952285475767</v>
      </c>
      <c r="X38" s="33" t="s">
        <v>49</v>
      </c>
      <c r="Y38" s="31">
        <v>1</v>
      </c>
      <c r="Z38" s="31">
        <v>1</v>
      </c>
      <c r="AA38" s="68">
        <v>146597749796</v>
      </c>
      <c r="AB38" s="68">
        <v>5390</v>
      </c>
      <c r="AC38" s="68">
        <v>1335796613176</v>
      </c>
      <c r="AD38" s="31">
        <f t="shared" si="0"/>
        <v>255447181220</v>
      </c>
      <c r="AE38" s="68">
        <v>758754665369</v>
      </c>
      <c r="AF38" s="68">
        <v>276893705171</v>
      </c>
      <c r="AG38" s="68">
        <v>348963627633</v>
      </c>
      <c r="AH38" s="68">
        <v>383447373080</v>
      </c>
      <c r="AI38" s="68">
        <v>221024298549</v>
      </c>
      <c r="AJ38" s="68">
        <v>438392350155</v>
      </c>
      <c r="AK38" s="68">
        <v>694951524534</v>
      </c>
      <c r="AL38" s="68">
        <v>320362315214</v>
      </c>
      <c r="AM38" s="32">
        <v>7.46E-2</v>
      </c>
      <c r="AN38" s="68">
        <v>45700049216</v>
      </c>
      <c r="AO38" s="68">
        <v>47275936600</v>
      </c>
      <c r="AP38" s="68">
        <v>2734</v>
      </c>
      <c r="AQ38" s="68">
        <v>497</v>
      </c>
      <c r="AR38" s="68">
        <v>1098459058012</v>
      </c>
      <c r="AS38" s="31">
        <v>11</v>
      </c>
      <c r="AT38" s="4"/>
      <c r="AU38" s="4"/>
    </row>
    <row r="39" spans="1:47" ht="15.45" x14ac:dyDescent="0.4">
      <c r="A39" s="31">
        <v>8</v>
      </c>
      <c r="B39" s="31" t="s">
        <v>65</v>
      </c>
      <c r="C39" s="31" t="s">
        <v>66</v>
      </c>
      <c r="D39" s="31">
        <v>2021</v>
      </c>
      <c r="E39" s="31" t="s">
        <v>64</v>
      </c>
      <c r="F39" s="32">
        <v>0.15179799999999999</v>
      </c>
      <c r="G39" s="32">
        <v>0</v>
      </c>
      <c r="H39" s="32">
        <v>0.24110000000000001</v>
      </c>
      <c r="I39" s="32">
        <v>0.1208</v>
      </c>
      <c r="J39" s="68">
        <v>48782751</v>
      </c>
      <c r="K39" s="68">
        <v>1955301419313</v>
      </c>
      <c r="L39" s="68">
        <v>1955301419313</v>
      </c>
      <c r="M39" s="68">
        <v>3232345373971</v>
      </c>
      <c r="N39" s="68">
        <v>0</v>
      </c>
      <c r="O39" s="68">
        <v>85027576435</v>
      </c>
      <c r="P39" s="68">
        <v>3935255733</v>
      </c>
      <c r="Q39" s="68">
        <v>1241007563702</v>
      </c>
      <c r="R39" s="68">
        <v>641928435939</v>
      </c>
      <c r="S39" s="68">
        <v>452491131879</v>
      </c>
      <c r="T39" s="68">
        <v>1243727148753</v>
      </c>
      <c r="U39" s="33" t="s">
        <v>49</v>
      </c>
      <c r="V39" s="68">
        <v>389188983587</v>
      </c>
      <c r="W39" s="68">
        <v>1241007563702</v>
      </c>
      <c r="X39" s="33" t="s">
        <v>49</v>
      </c>
      <c r="Y39" s="31">
        <v>1</v>
      </c>
      <c r="Z39" s="31">
        <v>1</v>
      </c>
      <c r="AA39" s="68">
        <v>550615355463</v>
      </c>
      <c r="AB39" s="68">
        <v>21090</v>
      </c>
      <c r="AC39" s="68">
        <v>1902029962417</v>
      </c>
      <c r="AD39" s="31">
        <f t="shared" si="0"/>
        <v>1028828218590</v>
      </c>
      <c r="AE39" s="68">
        <v>1330315411554</v>
      </c>
      <c r="AF39" s="68">
        <v>790084526976</v>
      </c>
      <c r="AG39" s="68">
        <v>619848552489</v>
      </c>
      <c r="AH39" s="68">
        <v>649538335559</v>
      </c>
      <c r="AI39" s="68">
        <v>484732416770</v>
      </c>
      <c r="AJ39" s="68">
        <v>709711548655</v>
      </c>
      <c r="AK39" s="68">
        <v>1287237970137</v>
      </c>
      <c r="AL39" s="68">
        <v>620603862899</v>
      </c>
      <c r="AM39" s="32">
        <v>0.64081200000000005</v>
      </c>
      <c r="AN39" s="68">
        <v>48419634267</v>
      </c>
      <c r="AO39" s="68">
        <v>67084355500</v>
      </c>
      <c r="AP39" s="68">
        <v>8750</v>
      </c>
      <c r="AQ39" s="68">
        <v>497</v>
      </c>
      <c r="AR39" s="68">
        <v>1535890707186</v>
      </c>
      <c r="AS39" s="31">
        <v>12</v>
      </c>
      <c r="AT39" s="4"/>
      <c r="AU39" s="4"/>
    </row>
    <row r="40" spans="1:47" ht="15.45" x14ac:dyDescent="0.4">
      <c r="A40" s="31">
        <v>8</v>
      </c>
      <c r="B40" s="31" t="s">
        <v>65</v>
      </c>
      <c r="C40" s="31" t="s">
        <v>66</v>
      </c>
      <c r="D40" s="31">
        <v>2022</v>
      </c>
      <c r="E40" s="31" t="s">
        <v>64</v>
      </c>
      <c r="F40" s="32">
        <v>0.188217</v>
      </c>
      <c r="G40" s="32">
        <v>0</v>
      </c>
      <c r="H40" s="32">
        <v>0.2535</v>
      </c>
      <c r="I40" s="32">
        <v>0.1338</v>
      </c>
      <c r="J40" s="68">
        <v>70344667</v>
      </c>
      <c r="K40" s="68">
        <v>3205610066164</v>
      </c>
      <c r="L40" s="68">
        <v>3205610066164</v>
      </c>
      <c r="M40" s="68">
        <v>5049419497076</v>
      </c>
      <c r="N40" s="68">
        <v>0</v>
      </c>
      <c r="O40" s="68">
        <v>113764933866</v>
      </c>
      <c r="P40" s="68">
        <v>3470011147</v>
      </c>
      <c r="Q40" s="68">
        <v>1783865288872</v>
      </c>
      <c r="R40" s="68">
        <v>1299698411421</v>
      </c>
      <c r="S40" s="68">
        <v>663077925656</v>
      </c>
      <c r="T40" s="68">
        <v>1813885190029</v>
      </c>
      <c r="U40" s="33" t="s">
        <v>49</v>
      </c>
      <c r="V40" s="68">
        <v>583263891046</v>
      </c>
      <c r="W40" s="68">
        <v>1783865288872</v>
      </c>
      <c r="X40" s="33" t="s">
        <v>49</v>
      </c>
      <c r="Y40" s="31">
        <v>1</v>
      </c>
      <c r="Z40" s="31">
        <v>1</v>
      </c>
      <c r="AA40" s="68">
        <v>1040793233703</v>
      </c>
      <c r="AB40" s="68">
        <v>14200</v>
      </c>
      <c r="AC40" s="68">
        <v>2886920705454</v>
      </c>
      <c r="AD40" s="31">
        <f t="shared" si="0"/>
        <v>998894271400</v>
      </c>
      <c r="AE40" s="68">
        <v>2162498791622</v>
      </c>
      <c r="AF40" s="68">
        <v>1294718350122</v>
      </c>
      <c r="AG40" s="68">
        <v>1603780909743</v>
      </c>
      <c r="AH40" s="68">
        <v>1661287878869</v>
      </c>
      <c r="AI40" s="68">
        <v>415481021778</v>
      </c>
      <c r="AJ40" s="68">
        <v>1252163377785</v>
      </c>
      <c r="AK40" s="68">
        <v>1744506986111</v>
      </c>
      <c r="AL40" s="68">
        <v>910335413837</v>
      </c>
      <c r="AM40" s="32">
        <v>0.63944500000000004</v>
      </c>
      <c r="AN40" s="68">
        <v>78439535424</v>
      </c>
      <c r="AO40" s="68">
        <v>68559959300</v>
      </c>
      <c r="AP40" s="68">
        <v>11306</v>
      </c>
      <c r="AQ40" s="68">
        <v>569</v>
      </c>
      <c r="AR40" s="68">
        <v>2744063079887</v>
      </c>
      <c r="AS40" s="31">
        <v>13</v>
      </c>
      <c r="AT40" s="4"/>
      <c r="AU40" s="4"/>
    </row>
    <row r="41" spans="1:47" ht="15.45" x14ac:dyDescent="0.4">
      <c r="A41" s="31">
        <v>8</v>
      </c>
      <c r="B41" s="31" t="s">
        <v>65</v>
      </c>
      <c r="C41" s="31" t="s">
        <v>66</v>
      </c>
      <c r="D41" s="31">
        <v>2023</v>
      </c>
      <c r="E41" s="31" t="s">
        <v>64</v>
      </c>
      <c r="F41" s="32">
        <v>0.37590000000000001</v>
      </c>
      <c r="G41" s="32">
        <v>0</v>
      </c>
      <c r="H41" s="32">
        <v>0.37969999999999998</v>
      </c>
      <c r="I41" s="32">
        <v>3.6999999999999998E-2</v>
      </c>
      <c r="J41" s="68">
        <v>105516881</v>
      </c>
      <c r="K41" s="68">
        <v>2612689733658</v>
      </c>
      <c r="L41" s="68">
        <v>2612689733658</v>
      </c>
      <c r="M41" s="68">
        <v>5358949358065</v>
      </c>
      <c r="N41" s="68">
        <v>0</v>
      </c>
      <c r="O41" s="68">
        <v>125377657586</v>
      </c>
      <c r="P41" s="68">
        <v>3158451197</v>
      </c>
      <c r="Q41" s="68">
        <v>2001623877610</v>
      </c>
      <c r="R41" s="68">
        <v>447054623655</v>
      </c>
      <c r="S41" s="68">
        <v>813534524865</v>
      </c>
      <c r="T41" s="68">
        <v>2020315327018</v>
      </c>
      <c r="U41" s="33" t="s">
        <v>49</v>
      </c>
      <c r="V41" s="68">
        <v>462539325764</v>
      </c>
      <c r="W41" s="68">
        <v>2001623877610</v>
      </c>
      <c r="X41" s="33" t="s">
        <v>49</v>
      </c>
      <c r="Y41" s="31">
        <v>1</v>
      </c>
      <c r="Z41" s="31">
        <v>1</v>
      </c>
      <c r="AA41" s="68">
        <v>357825466214</v>
      </c>
      <c r="AB41" s="68">
        <v>24820</v>
      </c>
      <c r="AC41" s="68">
        <v>3170745801683</v>
      </c>
      <c r="AD41" s="31">
        <f t="shared" si="0"/>
        <v>2618928986420</v>
      </c>
      <c r="AE41" s="68">
        <v>2188203556382</v>
      </c>
      <c r="AF41" s="68">
        <v>536324547004</v>
      </c>
      <c r="AG41" s="68">
        <v>866016761338</v>
      </c>
      <c r="AH41" s="68">
        <v>776185776676</v>
      </c>
      <c r="AI41" s="68">
        <v>245416444931</v>
      </c>
      <c r="AJ41" s="68">
        <v>1250944756488</v>
      </c>
      <c r="AK41" s="68">
        <v>1600183520090</v>
      </c>
      <c r="AL41" s="68">
        <v>937258799894</v>
      </c>
      <c r="AM41" s="32">
        <v>-0.18496299999999999</v>
      </c>
      <c r="AN41" s="68">
        <v>97130984832</v>
      </c>
      <c r="AO41" s="68">
        <v>9762744200</v>
      </c>
      <c r="AP41" s="68">
        <v>3315</v>
      </c>
      <c r="AQ41" s="68">
        <v>739</v>
      </c>
      <c r="AR41" s="68">
        <v>3117716025658</v>
      </c>
      <c r="AS41" s="31">
        <v>14</v>
      </c>
      <c r="AT41" s="4"/>
      <c r="AU41" s="4"/>
    </row>
    <row r="42" spans="1:47" ht="15.45" x14ac:dyDescent="0.4">
      <c r="A42" s="31">
        <v>8</v>
      </c>
      <c r="B42" s="31" t="s">
        <v>65</v>
      </c>
      <c r="C42" s="31" t="s">
        <v>66</v>
      </c>
      <c r="D42" s="31">
        <v>2024</v>
      </c>
      <c r="E42" s="31" t="s">
        <v>64</v>
      </c>
      <c r="F42" s="32">
        <v>0.17232</v>
      </c>
      <c r="G42" s="32">
        <v>0</v>
      </c>
      <c r="H42" s="32">
        <v>0.36015999999999998</v>
      </c>
      <c r="I42" s="32">
        <v>0.13283</v>
      </c>
      <c r="J42" s="68">
        <v>121343091</v>
      </c>
      <c r="K42" s="68">
        <v>3992094957163</v>
      </c>
      <c r="L42" s="68">
        <v>3992094957163</v>
      </c>
      <c r="M42" s="68">
        <v>7289524568993</v>
      </c>
      <c r="N42" s="68">
        <v>0</v>
      </c>
      <c r="O42" s="68">
        <v>210539354371</v>
      </c>
      <c r="P42" s="68">
        <v>38859496507</v>
      </c>
      <c r="Q42" s="68">
        <v>2725389313129</v>
      </c>
      <c r="R42" s="68">
        <v>980436237286</v>
      </c>
      <c r="S42" s="68">
        <v>975260071763</v>
      </c>
      <c r="T42" s="68">
        <v>2716040186522</v>
      </c>
      <c r="U42" s="33" t="s">
        <v>49</v>
      </c>
      <c r="V42" s="68">
        <v>838195890965</v>
      </c>
      <c r="W42" s="68">
        <v>2725389313129</v>
      </c>
      <c r="X42" s="33" t="s">
        <v>49</v>
      </c>
      <c r="Y42" s="31">
        <v>1</v>
      </c>
      <c r="Z42" s="31">
        <v>1</v>
      </c>
      <c r="AA42" s="68">
        <v>800226211464</v>
      </c>
      <c r="AB42" s="68">
        <v>37580</v>
      </c>
      <c r="AC42" s="68">
        <v>3971692927731</v>
      </c>
      <c r="AD42" s="31">
        <f t="shared" si="0"/>
        <v>4560073359780</v>
      </c>
      <c r="AE42" s="68">
        <v>3317831641262</v>
      </c>
      <c r="AF42" s="68">
        <v>1806620316886</v>
      </c>
      <c r="AG42" s="68">
        <v>2087945672607</v>
      </c>
      <c r="AH42" s="68">
        <v>2060803185360</v>
      </c>
      <c r="AI42" s="68">
        <v>921889788422</v>
      </c>
      <c r="AJ42" s="68">
        <v>2107735111289</v>
      </c>
      <c r="AK42" s="68">
        <v>1752839556274</v>
      </c>
      <c r="AL42" s="68">
        <v>1210096529973</v>
      </c>
      <c r="AM42" s="32">
        <v>0.52796399999999999</v>
      </c>
      <c r="AN42" s="68">
        <v>87781858225</v>
      </c>
      <c r="AO42" s="68">
        <v>15960000</v>
      </c>
      <c r="AP42" s="68">
        <v>5055</v>
      </c>
      <c r="AQ42" s="68">
        <v>653</v>
      </c>
      <c r="AR42" s="68">
        <v>4774994459130</v>
      </c>
      <c r="AS42" s="31">
        <v>15</v>
      </c>
      <c r="AT42" s="4"/>
      <c r="AU42" s="4"/>
    </row>
    <row r="43" spans="1:47" ht="15.45" x14ac:dyDescent="0.4">
      <c r="A43" s="69">
        <v>9</v>
      </c>
      <c r="B43" s="69" t="s">
        <v>67</v>
      </c>
      <c r="C43" s="69" t="s">
        <v>68</v>
      </c>
      <c r="D43" s="69">
        <v>2020</v>
      </c>
      <c r="E43" s="69" t="s">
        <v>69</v>
      </c>
      <c r="F43" s="70">
        <v>3.4600000000000001E-4</v>
      </c>
      <c r="G43" s="70">
        <v>0</v>
      </c>
      <c r="H43" s="70">
        <v>9.3599999999999998E-4</v>
      </c>
      <c r="I43" s="70">
        <v>0.44533299999999998</v>
      </c>
      <c r="J43" s="69">
        <v>62068349</v>
      </c>
      <c r="K43" s="69">
        <v>3470465500295</v>
      </c>
      <c r="L43" s="69">
        <v>3469716808748</v>
      </c>
      <c r="M43" s="69">
        <v>2976422649274</v>
      </c>
      <c r="N43" s="69">
        <v>143976177586</v>
      </c>
      <c r="O43" s="69">
        <v>141947995876</v>
      </c>
      <c r="P43" s="69">
        <v>183299172911</v>
      </c>
      <c r="Q43" s="69">
        <v>2849533813239</v>
      </c>
      <c r="R43" s="69">
        <v>340168727345</v>
      </c>
      <c r="S43" s="69">
        <v>1399012682867</v>
      </c>
      <c r="T43" s="69">
        <v>2964224805683</v>
      </c>
      <c r="U43" s="69">
        <v>254146793569</v>
      </c>
      <c r="V43" s="69">
        <v>570224817919</v>
      </c>
      <c r="W43" s="69">
        <v>3212050785584</v>
      </c>
      <c r="X43" s="71" t="s">
        <v>49</v>
      </c>
      <c r="Y43" s="69">
        <v>1</v>
      </c>
      <c r="Z43" s="69">
        <v>1</v>
      </c>
      <c r="AA43" s="69">
        <v>276227899280</v>
      </c>
      <c r="AB43" s="69">
        <v>27240</v>
      </c>
      <c r="AC43" s="69">
        <v>1638734940727</v>
      </c>
      <c r="AD43" s="69">
        <f t="shared" si="0"/>
        <v>1690741826760</v>
      </c>
      <c r="AE43" s="69">
        <v>1337687708547</v>
      </c>
      <c r="AF43" s="69">
        <v>386658152028</v>
      </c>
      <c r="AG43" s="69">
        <v>11750845077</v>
      </c>
      <c r="AH43" s="69">
        <v>-33781747022</v>
      </c>
      <c r="AI43" s="69">
        <v>287922412252</v>
      </c>
      <c r="AJ43" s="69">
        <v>37596706662</v>
      </c>
      <c r="AK43" s="69">
        <v>1783900889021</v>
      </c>
      <c r="AL43" s="69">
        <v>1256932784884</v>
      </c>
      <c r="AM43" s="70">
        <v>0.27379999999999999</v>
      </c>
      <c r="AN43" s="69">
        <v>1006919927775</v>
      </c>
      <c r="AO43" s="69">
        <v>29388191425</v>
      </c>
      <c r="AP43" s="69">
        <v>3775</v>
      </c>
      <c r="AQ43" s="69">
        <v>7002</v>
      </c>
      <c r="AR43" s="69">
        <v>660766252460</v>
      </c>
      <c r="AS43" s="69">
        <v>15</v>
      </c>
      <c r="AT43" s="5"/>
      <c r="AU43" s="5"/>
    </row>
    <row r="44" spans="1:47" ht="15.45" x14ac:dyDescent="0.4">
      <c r="A44" s="69">
        <v>9</v>
      </c>
      <c r="B44" s="69" t="s">
        <v>67</v>
      </c>
      <c r="C44" s="69" t="s">
        <v>68</v>
      </c>
      <c r="D44" s="69">
        <v>2021</v>
      </c>
      <c r="E44" s="69" t="s">
        <v>69</v>
      </c>
      <c r="F44" s="70">
        <v>0.15645899999999999</v>
      </c>
      <c r="G44" s="70">
        <v>0</v>
      </c>
      <c r="H44" s="70">
        <v>8.3600000000000005E-4</v>
      </c>
      <c r="I44" s="70">
        <v>0.46111999999999997</v>
      </c>
      <c r="J44" s="69">
        <v>71360808</v>
      </c>
      <c r="K44" s="69">
        <v>3537497633160</v>
      </c>
      <c r="L44" s="69">
        <v>3535415705914</v>
      </c>
      <c r="M44" s="69">
        <v>3606390631343</v>
      </c>
      <c r="N44" s="69">
        <v>184396737569</v>
      </c>
      <c r="O44" s="69">
        <v>169902306253</v>
      </c>
      <c r="P44" s="69">
        <v>181428774005</v>
      </c>
      <c r="Q44" s="69">
        <v>3021913805240</v>
      </c>
      <c r="R44" s="69">
        <v>175691627321</v>
      </c>
      <c r="S44" s="69">
        <v>1675306883116</v>
      </c>
      <c r="T44" s="69">
        <v>3480197389207</v>
      </c>
      <c r="U44" s="69">
        <v>456092463786</v>
      </c>
      <c r="V44" s="69">
        <v>618427124353</v>
      </c>
      <c r="W44" s="69">
        <v>3592166037971</v>
      </c>
      <c r="X44" s="71" t="s">
        <v>49</v>
      </c>
      <c r="Y44" s="69">
        <v>1</v>
      </c>
      <c r="Z44" s="69">
        <v>1</v>
      </c>
      <c r="AA44" s="69">
        <v>143658558090</v>
      </c>
      <c r="AB44" s="69">
        <v>39620</v>
      </c>
      <c r="AC44" s="69">
        <v>1708534694671</v>
      </c>
      <c r="AD44" s="69">
        <f t="shared" si="0"/>
        <v>2827315212960</v>
      </c>
      <c r="AE44" s="69">
        <v>1897855936672</v>
      </c>
      <c r="AF44" s="69">
        <v>-89271641618</v>
      </c>
      <c r="AG44" s="69">
        <v>116913047144</v>
      </c>
      <c r="AH44" s="69">
        <v>-116764654404</v>
      </c>
      <c r="AI44" s="69">
        <v>270468956398</v>
      </c>
      <c r="AJ44" s="69">
        <v>93227432663</v>
      </c>
      <c r="AK44" s="69">
        <v>2351259832320</v>
      </c>
      <c r="AL44" s="69">
        <v>1757418059259</v>
      </c>
      <c r="AM44" s="70">
        <v>-0.47989999999999999</v>
      </c>
      <c r="AN44" s="69">
        <v>1463731770019</v>
      </c>
      <c r="AO44" s="69">
        <v>31320754750</v>
      </c>
      <c r="AP44" s="69">
        <v>1700</v>
      </c>
      <c r="AQ44" s="69">
        <v>6720</v>
      </c>
      <c r="AR44" s="69">
        <v>644912238621</v>
      </c>
      <c r="AS44" s="69">
        <v>16</v>
      </c>
      <c r="AT44" s="5"/>
      <c r="AU44" s="5"/>
    </row>
    <row r="45" spans="1:47" ht="15.45" x14ac:dyDescent="0.4">
      <c r="A45" s="69">
        <v>9</v>
      </c>
      <c r="B45" s="69" t="s">
        <v>67</v>
      </c>
      <c r="C45" s="69" t="s">
        <v>68</v>
      </c>
      <c r="D45" s="69">
        <v>2022</v>
      </c>
      <c r="E45" s="69" t="s">
        <v>69</v>
      </c>
      <c r="F45" s="70">
        <v>0.16947300000000001</v>
      </c>
      <c r="G45" s="70">
        <v>0</v>
      </c>
      <c r="H45" s="70">
        <v>5.4000000000000001E-4</v>
      </c>
      <c r="I45" s="70">
        <v>0.471443</v>
      </c>
      <c r="J45" s="69">
        <v>82047127</v>
      </c>
      <c r="K45" s="69">
        <v>4340749506976</v>
      </c>
      <c r="L45" s="69">
        <v>4337389009868</v>
      </c>
      <c r="M45" s="69">
        <v>3477066569867</v>
      </c>
      <c r="N45" s="69">
        <v>177757668537</v>
      </c>
      <c r="O45" s="69">
        <v>169804388906</v>
      </c>
      <c r="P45" s="69">
        <v>179420111275</v>
      </c>
      <c r="Q45" s="69">
        <v>3627138944601</v>
      </c>
      <c r="R45" s="69">
        <v>346321914677</v>
      </c>
      <c r="S45" s="69">
        <v>1939982171452</v>
      </c>
      <c r="T45" s="69">
        <v>3420462399027</v>
      </c>
      <c r="U45" s="69">
        <v>321068888731</v>
      </c>
      <c r="V45" s="69">
        <v>542008992033</v>
      </c>
      <c r="W45" s="69">
        <v>3878692650113</v>
      </c>
      <c r="X45" s="71" t="s">
        <v>49</v>
      </c>
      <c r="Y45" s="69">
        <v>1</v>
      </c>
      <c r="Z45" s="69">
        <v>1</v>
      </c>
      <c r="AA45" s="69">
        <v>281069424265</v>
      </c>
      <c r="AB45" s="69">
        <v>37040</v>
      </c>
      <c r="AC45" s="69">
        <v>1978857408334</v>
      </c>
      <c r="AD45" s="69">
        <f t="shared" si="0"/>
        <v>3039025584080</v>
      </c>
      <c r="AE45" s="69">
        <v>1498209161533</v>
      </c>
      <c r="AF45" s="69">
        <v>251601872069</v>
      </c>
      <c r="AG45" s="69">
        <v>126944473337</v>
      </c>
      <c r="AH45" s="69">
        <v>-8610541407</v>
      </c>
      <c r="AI45" s="69">
        <v>422224811098</v>
      </c>
      <c r="AJ45" s="69">
        <v>140900205888</v>
      </c>
      <c r="AK45" s="69">
        <v>2166735823702</v>
      </c>
      <c r="AL45" s="69">
        <v>1311885605713</v>
      </c>
      <c r="AM45" s="70">
        <v>0.95650000000000002</v>
      </c>
      <c r="AN45" s="69">
        <v>1255053417271</v>
      </c>
      <c r="AO45" s="69">
        <v>372513070</v>
      </c>
      <c r="AP45" s="69">
        <v>2898</v>
      </c>
      <c r="AQ45" s="69">
        <v>6266</v>
      </c>
      <c r="AR45" s="69">
        <v>736556780932</v>
      </c>
      <c r="AS45" s="69">
        <v>17</v>
      </c>
      <c r="AT45" s="5"/>
      <c r="AU45" s="5"/>
    </row>
    <row r="46" spans="1:47" ht="15.45" x14ac:dyDescent="0.4">
      <c r="A46" s="26">
        <v>9</v>
      </c>
      <c r="B46" s="26" t="s">
        <v>67</v>
      </c>
      <c r="C46" s="26" t="s">
        <v>68</v>
      </c>
      <c r="D46" s="26">
        <v>2023</v>
      </c>
      <c r="E46" s="26" t="s">
        <v>69</v>
      </c>
      <c r="F46" s="28">
        <v>0.16950100000000001</v>
      </c>
      <c r="G46" s="28">
        <v>0</v>
      </c>
      <c r="H46" s="29" t="s">
        <v>49</v>
      </c>
      <c r="I46" s="28">
        <v>0.47868899999999998</v>
      </c>
      <c r="J46" s="26">
        <v>92697714</v>
      </c>
      <c r="K46" s="26">
        <v>3327935318862</v>
      </c>
      <c r="L46" s="26">
        <v>3324824506088</v>
      </c>
      <c r="M46" s="26">
        <v>3279364384954</v>
      </c>
      <c r="N46" s="26">
        <v>146908350442</v>
      </c>
      <c r="O46" s="26">
        <v>136935925390</v>
      </c>
      <c r="P46" s="26">
        <v>180435860311</v>
      </c>
      <c r="Q46" s="26">
        <v>2826139951947</v>
      </c>
      <c r="R46" s="26">
        <v>184549637663</v>
      </c>
      <c r="S46" s="26">
        <v>1376635413002</v>
      </c>
      <c r="T46" s="26">
        <v>2596011870755</v>
      </c>
      <c r="U46" s="26">
        <v>243413539284</v>
      </c>
      <c r="V46" s="26">
        <v>412253689672</v>
      </c>
      <c r="W46" s="26">
        <v>2961067852924</v>
      </c>
      <c r="X46" s="30" t="s">
        <v>49</v>
      </c>
      <c r="Y46" s="26">
        <v>1</v>
      </c>
      <c r="Z46" s="26">
        <v>1</v>
      </c>
      <c r="AA46" s="26">
        <v>133804252735</v>
      </c>
      <c r="AB46" s="26">
        <v>32650</v>
      </c>
      <c r="AC46" s="26">
        <v>2010136652221</v>
      </c>
      <c r="AD46" s="26">
        <f t="shared" si="0"/>
        <v>3026580362100</v>
      </c>
      <c r="AE46" s="26">
        <v>1269227732733</v>
      </c>
      <c r="AF46" s="26">
        <v>413952894413</v>
      </c>
      <c r="AG46" s="26">
        <v>41951368033</v>
      </c>
      <c r="AH46" s="26">
        <v>-62405614698</v>
      </c>
      <c r="AI46" s="26">
        <v>434896282731</v>
      </c>
      <c r="AJ46" s="26">
        <v>48044329980</v>
      </c>
      <c r="AK46" s="26">
        <v>2130754199483</v>
      </c>
      <c r="AL46" s="26">
        <v>1173414840149</v>
      </c>
      <c r="AM46" s="28">
        <v>-0.52390000000000003</v>
      </c>
      <c r="AN46" s="26">
        <v>1027930046160</v>
      </c>
      <c r="AO46" s="26">
        <v>57887453150</v>
      </c>
      <c r="AP46" s="26">
        <v>1211</v>
      </c>
      <c r="AQ46" s="26">
        <v>5552</v>
      </c>
      <c r="AR46" s="26">
        <v>755576926044</v>
      </c>
      <c r="AS46" s="26">
        <v>18</v>
      </c>
      <c r="AT46" s="3"/>
      <c r="AU46" s="3"/>
    </row>
    <row r="47" spans="1:47" ht="15.45" x14ac:dyDescent="0.4">
      <c r="A47" s="26">
        <v>9</v>
      </c>
      <c r="B47" s="26" t="s">
        <v>67</v>
      </c>
      <c r="C47" s="26" t="s">
        <v>68</v>
      </c>
      <c r="D47" s="26">
        <v>2024</v>
      </c>
      <c r="E47" s="26" t="s">
        <v>69</v>
      </c>
      <c r="F47" s="28">
        <v>0.100864</v>
      </c>
      <c r="G47" s="28">
        <v>0</v>
      </c>
      <c r="H47" s="29" t="s">
        <v>49</v>
      </c>
      <c r="I47" s="28">
        <v>0.49804999999999999</v>
      </c>
      <c r="J47" s="26">
        <v>101955482</v>
      </c>
      <c r="K47" s="26">
        <v>3810904287996</v>
      </c>
      <c r="L47" s="26">
        <v>3810451106702</v>
      </c>
      <c r="M47" s="26">
        <v>3895534414371</v>
      </c>
      <c r="N47" s="26">
        <v>154257848574</v>
      </c>
      <c r="O47" s="26">
        <v>149830742745</v>
      </c>
      <c r="P47" s="26">
        <v>179313437398</v>
      </c>
      <c r="Q47" s="26">
        <v>3193788377991</v>
      </c>
      <c r="R47" s="26">
        <v>339420390829</v>
      </c>
      <c r="S47" s="26">
        <v>1616897149308</v>
      </c>
      <c r="T47" s="26">
        <v>3172592361155</v>
      </c>
      <c r="U47" s="26">
        <v>220321269050</v>
      </c>
      <c r="V47" s="26">
        <v>597818865878</v>
      </c>
      <c r="W47" s="26">
        <v>3469395704175</v>
      </c>
      <c r="X47" s="30" t="s">
        <v>49</v>
      </c>
      <c r="Y47" s="26">
        <v>1</v>
      </c>
      <c r="Z47" s="26">
        <v>1</v>
      </c>
      <c r="AA47" s="26">
        <v>278069130964</v>
      </c>
      <c r="AB47" s="26">
        <v>42160</v>
      </c>
      <c r="AC47" s="26">
        <v>2271739713368</v>
      </c>
      <c r="AD47" s="26">
        <f t="shared" si="0"/>
        <v>4298443121120</v>
      </c>
      <c r="AE47" s="26">
        <v>1623794701003</v>
      </c>
      <c r="AF47" s="26">
        <v>391611466611</v>
      </c>
      <c r="AG47" s="26">
        <v>237180366398</v>
      </c>
      <c r="AH47" s="26">
        <v>-351953492923</v>
      </c>
      <c r="AI47" s="26">
        <v>563280117447</v>
      </c>
      <c r="AJ47" s="26">
        <v>59608479700</v>
      </c>
      <c r="AK47" s="26">
        <v>2690037141466</v>
      </c>
      <c r="AL47" s="26">
        <v>1518279328682</v>
      </c>
      <c r="AM47" s="28">
        <v>1.0782</v>
      </c>
      <c r="AN47" s="26">
        <v>1002737488623</v>
      </c>
      <c r="AO47" s="26">
        <v>737065500</v>
      </c>
      <c r="AP47" s="26">
        <v>2548</v>
      </c>
      <c r="AQ47" s="26">
        <v>5798</v>
      </c>
      <c r="AR47" s="26">
        <v>845461517931</v>
      </c>
      <c r="AS47" s="26">
        <v>19</v>
      </c>
      <c r="AT47" s="3"/>
      <c r="AU47" s="3"/>
    </row>
    <row r="48" spans="1:47" ht="15.45" x14ac:dyDescent="0.4">
      <c r="A48" s="31">
        <v>10</v>
      </c>
      <c r="B48" s="41" t="s">
        <v>70</v>
      </c>
      <c r="C48" s="31" t="s">
        <v>71</v>
      </c>
      <c r="D48" s="31">
        <v>2020</v>
      </c>
      <c r="E48" s="41" t="s">
        <v>72</v>
      </c>
      <c r="F48" s="43">
        <f>(18200000 + 2100 + 15400000 + 60000+ 12600000 + 12600000 + 12600000 + 21900 + 126980 + 1000 + 3900)/140000000</f>
        <v>0.51154200000000005</v>
      </c>
      <c r="G48" s="43">
        <f t="shared" ref="G48:G52" si="4">71400000/140000000</f>
        <v>0.51</v>
      </c>
      <c r="H48" s="43" t="s">
        <v>49</v>
      </c>
      <c r="I48" s="43">
        <f>338800/140000000</f>
        <v>2.4199999999999998E-3</v>
      </c>
      <c r="J48" s="44">
        <v>140000000</v>
      </c>
      <c r="K48" s="44">
        <v>1281252463965</v>
      </c>
      <c r="L48" s="44">
        <v>1277269952129</v>
      </c>
      <c r="M48" s="44">
        <v>2795956204223</v>
      </c>
      <c r="N48" s="44">
        <v>27011056816</v>
      </c>
      <c r="O48" s="44">
        <v>87603554653</v>
      </c>
      <c r="P48" s="44">
        <v>8868292622</v>
      </c>
      <c r="Q48" s="44">
        <v>1310986104537</v>
      </c>
      <c r="R48" s="44">
        <v>-259920991567</v>
      </c>
      <c r="S48" s="44">
        <v>444387294262</v>
      </c>
      <c r="T48" s="45">
        <v>1295035240211</v>
      </c>
      <c r="U48" s="44" t="s">
        <v>49</v>
      </c>
      <c r="V48" s="44">
        <v>429009662653</v>
      </c>
      <c r="W48" s="44">
        <v>1425600716006</v>
      </c>
      <c r="X48" s="44" t="s">
        <v>49</v>
      </c>
      <c r="Y48" s="44">
        <v>0</v>
      </c>
      <c r="Z48" s="44">
        <v>0</v>
      </c>
      <c r="AA48" s="44">
        <v>-187258068185</v>
      </c>
      <c r="AB48" s="44">
        <v>2140</v>
      </c>
      <c r="AC48" s="44">
        <v>508497397583</v>
      </c>
      <c r="AD48" s="31">
        <f t="shared" si="0"/>
        <v>299600000000</v>
      </c>
      <c r="AE48" s="44">
        <v>2287458806640</v>
      </c>
      <c r="AF48" s="44">
        <v>34802031464</v>
      </c>
      <c r="AG48" s="44">
        <v>5995260733</v>
      </c>
      <c r="AH48" s="44">
        <v>77693453410</v>
      </c>
      <c r="AI48" s="44">
        <v>53009600464</v>
      </c>
      <c r="AJ48" s="44">
        <v>1375508985022</v>
      </c>
      <c r="AK48" s="44">
        <v>829327979147</v>
      </c>
      <c r="AL48" s="44">
        <v>911949821618</v>
      </c>
      <c r="AM48" s="43">
        <v>-4.6666999999999996</v>
      </c>
      <c r="AN48" s="44">
        <v>75028554197</v>
      </c>
      <c r="AO48" s="44">
        <v>2044000</v>
      </c>
      <c r="AP48" s="45">
        <v>1338</v>
      </c>
      <c r="AQ48" s="44">
        <v>772</v>
      </c>
      <c r="AR48" s="44">
        <v>1793032291971</v>
      </c>
      <c r="AS48" s="44">
        <f>2020-1970+1</f>
        <v>51</v>
      </c>
      <c r="AT48" s="4"/>
      <c r="AU48" s="4"/>
    </row>
    <row r="49" spans="1:47" ht="15.45" x14ac:dyDescent="0.4">
      <c r="A49" s="31">
        <v>10</v>
      </c>
      <c r="B49" s="41" t="s">
        <v>70</v>
      </c>
      <c r="C49" s="31" t="s">
        <v>71</v>
      </c>
      <c r="D49" s="31">
        <v>2021</v>
      </c>
      <c r="E49" s="41" t="s">
        <v>72</v>
      </c>
      <c r="F49" s="43">
        <f t="shared" ref="F49:F50" si="5">(15400000 + 14000000*4 + 75000 + 21900  + 980 + 1000 + 3900)/140000000</f>
        <v>0.5107341428571428</v>
      </c>
      <c r="G49" s="43">
        <f t="shared" si="4"/>
        <v>0.51</v>
      </c>
      <c r="H49" s="43" t="s">
        <v>49</v>
      </c>
      <c r="I49" s="43">
        <f>2892150/140000000</f>
        <v>2.0658214285714287E-2</v>
      </c>
      <c r="J49" s="44">
        <v>140000000</v>
      </c>
      <c r="K49" s="44">
        <v>1423851692370</v>
      </c>
      <c r="L49" s="44">
        <v>1423851692370</v>
      </c>
      <c r="M49" s="44">
        <v>2746617755126</v>
      </c>
      <c r="N49" s="44">
        <v>43126578020</v>
      </c>
      <c r="O49" s="44">
        <v>105219556045</v>
      </c>
      <c r="P49" s="44">
        <v>8582789266</v>
      </c>
      <c r="Q49" s="44">
        <v>970741510894</v>
      </c>
      <c r="R49" s="44">
        <v>354374024780</v>
      </c>
      <c r="S49" s="44">
        <v>255883733853</v>
      </c>
      <c r="T49" s="45">
        <v>985823166154</v>
      </c>
      <c r="U49" s="44" t="s">
        <v>49</v>
      </c>
      <c r="V49" s="44">
        <v>308712788316</v>
      </c>
      <c r="W49" s="44">
        <v>1119087644959</v>
      </c>
      <c r="X49" s="44" t="s">
        <v>49</v>
      </c>
      <c r="Y49" s="44">
        <v>0</v>
      </c>
      <c r="Z49" s="44">
        <v>1</v>
      </c>
      <c r="AA49" s="44">
        <v>490303890988</v>
      </c>
      <c r="AB49" s="44">
        <v>17690</v>
      </c>
      <c r="AC49" s="44">
        <v>1009110130176</v>
      </c>
      <c r="AD49" s="31">
        <f t="shared" si="0"/>
        <v>2476600000000</v>
      </c>
      <c r="AE49" s="44">
        <v>1737507624950</v>
      </c>
      <c r="AF49" s="44">
        <v>708660207464</v>
      </c>
      <c r="AG49" s="44">
        <v>12852092018</v>
      </c>
      <c r="AH49" s="44">
        <v>27728958680</v>
      </c>
      <c r="AI49" s="44">
        <v>103217904015</v>
      </c>
      <c r="AJ49" s="44">
        <v>1010551421313</v>
      </c>
      <c r="AK49" s="44">
        <v>1092054865666</v>
      </c>
      <c r="AL49" s="44">
        <v>726956203637</v>
      </c>
      <c r="AM49" s="43">
        <v>-3.6183000000000001</v>
      </c>
      <c r="AN49" s="44">
        <v>90110209457</v>
      </c>
      <c r="AO49" s="44">
        <v>56438260</v>
      </c>
      <c r="AP49" s="45" t="s">
        <v>49</v>
      </c>
      <c r="AQ49" s="44">
        <v>922</v>
      </c>
      <c r="AR49" s="44">
        <v>1490717629410</v>
      </c>
      <c r="AS49" s="44">
        <v>52</v>
      </c>
      <c r="AT49" s="4"/>
      <c r="AU49" s="4"/>
    </row>
    <row r="50" spans="1:47" ht="15.45" x14ac:dyDescent="0.4">
      <c r="A50" s="31">
        <v>10</v>
      </c>
      <c r="B50" s="41" t="s">
        <v>70</v>
      </c>
      <c r="C50" s="31" t="s">
        <v>71</v>
      </c>
      <c r="D50" s="31">
        <v>2022</v>
      </c>
      <c r="E50" s="41" t="s">
        <v>72</v>
      </c>
      <c r="F50" s="43">
        <f t="shared" si="5"/>
        <v>0.5107341428571428</v>
      </c>
      <c r="G50" s="43">
        <f t="shared" si="4"/>
        <v>0.51</v>
      </c>
      <c r="H50" s="43" t="s">
        <v>49</v>
      </c>
      <c r="I50" s="43">
        <f>1549050/140000000</f>
        <v>1.1064642857142858E-2</v>
      </c>
      <c r="J50" s="44">
        <v>140000000</v>
      </c>
      <c r="K50" s="44">
        <v>2420426096521</v>
      </c>
      <c r="L50" s="44">
        <v>2420426096521</v>
      </c>
      <c r="M50" s="44">
        <v>2678096571588</v>
      </c>
      <c r="N50" s="44">
        <v>79172062563</v>
      </c>
      <c r="O50" s="44">
        <v>105769941928</v>
      </c>
      <c r="P50" s="44">
        <v>8335812723</v>
      </c>
      <c r="Q50" s="44">
        <v>1682669186508</v>
      </c>
      <c r="R50" s="44">
        <v>530960956920</v>
      </c>
      <c r="S50" s="44">
        <v>633454868687</v>
      </c>
      <c r="T50" s="45">
        <v>1734661460596</v>
      </c>
      <c r="U50" s="44" t="s">
        <v>49</v>
      </c>
      <c r="V50" s="44">
        <v>620614884384</v>
      </c>
      <c r="W50" s="44">
        <v>1852958416179</v>
      </c>
      <c r="X50" s="44" t="s">
        <v>49</v>
      </c>
      <c r="Y50" s="44">
        <v>0</v>
      </c>
      <c r="Z50" s="44">
        <v>1</v>
      </c>
      <c r="AA50" s="44">
        <v>487942030923</v>
      </c>
      <c r="AB50" s="44">
        <v>10890</v>
      </c>
      <c r="AC50" s="44">
        <v>1528054126437</v>
      </c>
      <c r="AD50" s="31">
        <f t="shared" si="0"/>
        <v>1524600000000</v>
      </c>
      <c r="AE50" s="44">
        <v>1150042445151</v>
      </c>
      <c r="AF50" s="44">
        <v>562641008294</v>
      </c>
      <c r="AG50" s="44">
        <v>19781791265</v>
      </c>
      <c r="AH50" s="44">
        <v>7186730574</v>
      </c>
      <c r="AI50" s="44">
        <v>34751927582</v>
      </c>
      <c r="AJ50" s="44">
        <v>518793267804</v>
      </c>
      <c r="AK50" s="44">
        <v>1198397077745</v>
      </c>
      <c r="AL50" s="44">
        <v>631249177347</v>
      </c>
      <c r="AM50" s="43">
        <v>-4.7999999999999996E-3</v>
      </c>
      <c r="AN50" s="44">
        <v>142102483545</v>
      </c>
      <c r="AO50" s="44">
        <v>6892000</v>
      </c>
      <c r="AP50" s="45" t="s">
        <v>49</v>
      </c>
      <c r="AQ50" s="44">
        <v>849</v>
      </c>
      <c r="AR50" s="44">
        <v>1208745236347</v>
      </c>
      <c r="AS50" s="44">
        <v>53</v>
      </c>
      <c r="AT50" s="4"/>
      <c r="AU50" s="4"/>
    </row>
    <row r="51" spans="1:47" ht="15.45" x14ac:dyDescent="0.4">
      <c r="A51" s="31">
        <v>10</v>
      </c>
      <c r="B51" s="41" t="s">
        <v>70</v>
      </c>
      <c r="C51" s="31" t="s">
        <v>71</v>
      </c>
      <c r="D51" s="31">
        <v>2023</v>
      </c>
      <c r="E51" s="41" t="s">
        <v>72</v>
      </c>
      <c r="F51" s="43">
        <f>(15400000 + 14000000*4 + 75000 + 980 + 1000 + 3900)/140000000</f>
        <v>0.5105777142857143</v>
      </c>
      <c r="G51" s="43">
        <f t="shared" si="4"/>
        <v>0.51</v>
      </c>
      <c r="H51" s="43" t="s">
        <v>49</v>
      </c>
      <c r="I51" s="43">
        <f>1179600/140000000</f>
        <v>8.4257142857142864E-3</v>
      </c>
      <c r="J51" s="44">
        <v>140000000</v>
      </c>
      <c r="K51" s="44">
        <v>3188690186869</v>
      </c>
      <c r="L51" s="44">
        <v>3187472580688</v>
      </c>
      <c r="M51" s="44">
        <v>2715145833095</v>
      </c>
      <c r="N51" s="44">
        <v>59837274408</v>
      </c>
      <c r="O51" s="44">
        <v>75556618491</v>
      </c>
      <c r="P51" s="44">
        <v>8158880601</v>
      </c>
      <c r="Q51" s="44">
        <v>3005664031411</v>
      </c>
      <c r="R51" s="44">
        <v>81156381774</v>
      </c>
      <c r="S51" s="44">
        <v>660456526749</v>
      </c>
      <c r="T51" s="45">
        <v>2986819049468</v>
      </c>
      <c r="U51" s="44" t="s">
        <v>49</v>
      </c>
      <c r="V51" s="44">
        <v>778100575448</v>
      </c>
      <c r="W51" s="44">
        <v>1966807749984</v>
      </c>
      <c r="X51" s="44" t="s">
        <v>49</v>
      </c>
      <c r="Y51" s="44">
        <v>0</v>
      </c>
      <c r="Z51" s="44">
        <v>1</v>
      </c>
      <c r="AA51" s="44">
        <v>155371166443</v>
      </c>
      <c r="AB51" s="44">
        <v>10610</v>
      </c>
      <c r="AC51" s="44">
        <v>1672142080893</v>
      </c>
      <c r="AD51" s="31">
        <f t="shared" si="0"/>
        <v>1485400000000</v>
      </c>
      <c r="AE51" s="44">
        <v>1043003752202</v>
      </c>
      <c r="AF51" s="44">
        <v>365131187330</v>
      </c>
      <c r="AG51" s="44">
        <v>13918898746</v>
      </c>
      <c r="AH51" s="44">
        <v>-139399326420</v>
      </c>
      <c r="AI51" s="44">
        <v>260407006318</v>
      </c>
      <c r="AJ51" s="44">
        <v>518733835454</v>
      </c>
      <c r="AK51" s="44">
        <v>1581022452852</v>
      </c>
      <c r="AL51" s="44">
        <v>524269916748</v>
      </c>
      <c r="AM51" s="43">
        <v>-0.68159999999999998</v>
      </c>
      <c r="AN51" s="44">
        <v>123257501602</v>
      </c>
      <c r="AO51" s="44">
        <v>24360000</v>
      </c>
      <c r="AP51" s="45" t="s">
        <v>49</v>
      </c>
      <c r="AQ51" s="44">
        <v>716</v>
      </c>
      <c r="AR51" s="44">
        <v>937989991456</v>
      </c>
      <c r="AS51" s="44">
        <v>54</v>
      </c>
      <c r="AT51" s="4"/>
      <c r="AU51" s="4"/>
    </row>
    <row r="52" spans="1:47" ht="15.45" x14ac:dyDescent="0.4">
      <c r="A52" s="31">
        <v>10</v>
      </c>
      <c r="B52" s="41" t="s">
        <v>70</v>
      </c>
      <c r="C52" s="31" t="s">
        <v>71</v>
      </c>
      <c r="D52" s="31">
        <v>2024</v>
      </c>
      <c r="E52" s="41" t="s">
        <v>72</v>
      </c>
      <c r="F52" s="43">
        <f>(15530000 + 130000 + 14000000*4 + 980 + 1000 + 17290 + 3900)/140000000</f>
        <v>0.51202264285714283</v>
      </c>
      <c r="G52" s="43">
        <f t="shared" si="4"/>
        <v>0.51</v>
      </c>
      <c r="H52" s="43" t="s">
        <v>49</v>
      </c>
      <c r="I52" s="43">
        <f>1086450/140000000</f>
        <v>7.7603571428571426E-3</v>
      </c>
      <c r="J52" s="44">
        <v>140000000</v>
      </c>
      <c r="K52" s="44">
        <v>5576148117488</v>
      </c>
      <c r="L52" s="44">
        <v>5576122957488</v>
      </c>
      <c r="M52" s="44">
        <v>2891191736938</v>
      </c>
      <c r="N52" s="44">
        <v>63340144466</v>
      </c>
      <c r="O52" s="44">
        <v>97146278764</v>
      </c>
      <c r="P52" s="44">
        <v>8633982496</v>
      </c>
      <c r="Q52" s="44">
        <v>5448985063249</v>
      </c>
      <c r="R52" s="44">
        <v>24689397651</v>
      </c>
      <c r="S52" s="44">
        <v>642239344032</v>
      </c>
      <c r="T52" s="45">
        <v>5430954673113</v>
      </c>
      <c r="U52" s="44" t="s">
        <v>49</v>
      </c>
      <c r="V52" s="44">
        <v>827309409235</v>
      </c>
      <c r="W52" s="44">
        <v>2225460495470</v>
      </c>
      <c r="X52" s="44" t="s">
        <v>49</v>
      </c>
      <c r="Y52" s="44">
        <v>0</v>
      </c>
      <c r="Z52" s="44">
        <v>1</v>
      </c>
      <c r="AA52" s="44">
        <v>335255267808</v>
      </c>
      <c r="AB52" s="44">
        <v>15820</v>
      </c>
      <c r="AC52" s="44">
        <v>1988924446304</v>
      </c>
      <c r="AD52" s="31">
        <f t="shared" si="0"/>
        <v>2214800000000</v>
      </c>
      <c r="AE52" s="44">
        <v>902267290634</v>
      </c>
      <c r="AF52" s="44">
        <v>68526350941</v>
      </c>
      <c r="AG52" s="44">
        <v>111397818210</v>
      </c>
      <c r="AH52" s="44">
        <v>147775901482</v>
      </c>
      <c r="AI52" s="44">
        <v>494056303894</v>
      </c>
      <c r="AJ52" s="44">
        <v>492721294162</v>
      </c>
      <c r="AK52" s="44">
        <v>2098918083779</v>
      </c>
      <c r="AL52" s="44">
        <v>409545996472</v>
      </c>
      <c r="AM52" s="43">
        <v>1.1577999999999999</v>
      </c>
      <c r="AN52" s="44">
        <v>105227111466</v>
      </c>
      <c r="AO52" s="44">
        <v>0</v>
      </c>
      <c r="AP52" s="45" t="s">
        <v>49</v>
      </c>
      <c r="AQ52" s="44">
        <v>670</v>
      </c>
      <c r="AR52" s="44">
        <v>475212553651</v>
      </c>
      <c r="AS52" s="44">
        <v>55</v>
      </c>
      <c r="AT52" s="4"/>
      <c r="AU52" s="4"/>
    </row>
    <row r="53" spans="1:47" ht="15.45" x14ac:dyDescent="0.4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</row>
    <row r="54" spans="1:47" ht="15.45" x14ac:dyDescent="0.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</row>
    <row r="55" spans="1:47" ht="15.45" x14ac:dyDescent="0.4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</row>
    <row r="56" spans="1:47" ht="15.45" x14ac:dyDescent="0.4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</row>
    <row r="57" spans="1:47" ht="15.45" x14ac:dyDescent="0.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</row>
    <row r="58" spans="1:47" ht="15.45" x14ac:dyDescent="0.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</row>
    <row r="59" spans="1:47" ht="15.45" x14ac:dyDescent="0.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</row>
    <row r="60" spans="1:47" ht="15.45" x14ac:dyDescent="0.4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</row>
    <row r="61" spans="1:47" ht="15.45" x14ac:dyDescent="0.4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</row>
    <row r="62" spans="1:47" ht="15.45" x14ac:dyDescent="0.4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</row>
    <row r="63" spans="1:47" ht="15.45" x14ac:dyDescent="0.4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</row>
    <row r="64" spans="1:47" ht="15.45" x14ac:dyDescent="0.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</row>
    <row r="65" spans="1:47" ht="15.45" x14ac:dyDescent="0.4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</row>
    <row r="66" spans="1:47" ht="15.45" x14ac:dyDescent="0.4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</row>
    <row r="67" spans="1:47" ht="15.45" x14ac:dyDescent="0.4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</row>
    <row r="68" spans="1:47" ht="15.45" x14ac:dyDescent="0.4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</row>
    <row r="69" spans="1:47" ht="15.45" x14ac:dyDescent="0.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</row>
    <row r="70" spans="1:47" ht="15.45" x14ac:dyDescent="0.4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</row>
    <row r="71" spans="1:47" ht="15.45" x14ac:dyDescent="0.4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</row>
    <row r="72" spans="1:47" ht="15.45" x14ac:dyDescent="0.4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</row>
    <row r="73" spans="1:47" ht="15.45" x14ac:dyDescent="0.4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</row>
    <row r="74" spans="1:47" ht="15.45" x14ac:dyDescent="0.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</row>
    <row r="75" spans="1:47" ht="15.45" x14ac:dyDescent="0.4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</row>
    <row r="76" spans="1:47" ht="15.45" x14ac:dyDescent="0.4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</row>
    <row r="77" spans="1:47" ht="15.45" x14ac:dyDescent="0.4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</row>
    <row r="78" spans="1:47" ht="15.45" x14ac:dyDescent="0.4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</row>
    <row r="79" spans="1:47" ht="15.4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</row>
    <row r="80" spans="1:47" ht="15.4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</row>
    <row r="81" spans="1:47" ht="15.4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</row>
    <row r="82" spans="1:47" ht="15.4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</row>
    <row r="83" spans="1:47" ht="15.4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</row>
    <row r="84" spans="1:47" ht="15.4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</row>
    <row r="85" spans="1:47" ht="15.45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</row>
    <row r="86" spans="1:47" ht="15.4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</row>
    <row r="87" spans="1:47" ht="15.4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</row>
    <row r="88" spans="1:47" ht="15.4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</row>
    <row r="89" spans="1:47" ht="15.4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</row>
    <row r="90" spans="1:47" ht="15.4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</row>
    <row r="91" spans="1:47" ht="15.4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</row>
    <row r="92" spans="1:47" ht="15.4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</row>
    <row r="93" spans="1:47" ht="15.4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</row>
    <row r="94" spans="1:47" ht="15.4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</row>
    <row r="95" spans="1:47" ht="15.4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</row>
    <row r="96" spans="1:47" ht="15.4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</row>
    <row r="97" spans="1:47" ht="15.4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</row>
    <row r="98" spans="1:47" ht="15.4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</row>
    <row r="99" spans="1:47" ht="15.4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</row>
    <row r="100" spans="1:47" ht="15.4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</row>
    <row r="101" spans="1:47" ht="15.4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</row>
    <row r="102" spans="1:47" ht="15.4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</row>
    <row r="103" spans="1:47" ht="15.4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</row>
    <row r="104" spans="1:47" ht="15.4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</row>
    <row r="105" spans="1:47" ht="15.4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</row>
    <row r="106" spans="1:47" ht="15.4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</row>
    <row r="107" spans="1:47" ht="15.4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</row>
    <row r="108" spans="1:47" ht="15.4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</row>
    <row r="109" spans="1:47" ht="15.4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</row>
    <row r="110" spans="1:47" ht="15.4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</row>
    <row r="111" spans="1:47" ht="15.4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</row>
    <row r="112" spans="1:47" ht="15.4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</row>
    <row r="113" spans="1:47" ht="15.4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</row>
    <row r="114" spans="1:47" ht="15.4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</row>
    <row r="115" spans="1:47" ht="15.4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</row>
    <row r="116" spans="1:47" ht="15.4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</row>
    <row r="117" spans="1:47" ht="15.4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</row>
    <row r="118" spans="1:47" ht="15.4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</row>
    <row r="119" spans="1:47" ht="15.4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</row>
    <row r="120" spans="1:47" ht="15.4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</row>
    <row r="121" spans="1:47" ht="15.4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</row>
    <row r="122" spans="1:47" ht="15.4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</row>
    <row r="123" spans="1:47" ht="15.4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</row>
    <row r="124" spans="1:47" ht="15.4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</row>
    <row r="125" spans="1:47" ht="15.4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</row>
    <row r="126" spans="1:47" ht="15.4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</row>
    <row r="127" spans="1:47" ht="15.4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</row>
    <row r="128" spans="1:47" ht="15.4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</row>
    <row r="129" spans="1:47" ht="15.4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</row>
    <row r="130" spans="1:47" ht="15.4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</row>
    <row r="131" spans="1:47" ht="15.4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</row>
    <row r="132" spans="1:47" ht="15.4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</row>
    <row r="133" spans="1:47" ht="15.4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</row>
    <row r="134" spans="1:47" ht="15.4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</row>
    <row r="135" spans="1:47" ht="15.4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</row>
    <row r="136" spans="1:47" ht="15.4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</row>
    <row r="137" spans="1:47" ht="15.4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</row>
    <row r="138" spans="1:47" ht="15.4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</row>
    <row r="139" spans="1:47" ht="15.4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</row>
    <row r="140" spans="1:47" ht="15.4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</row>
    <row r="141" spans="1:47" ht="15.4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</row>
    <row r="142" spans="1:47" ht="15.4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</row>
    <row r="143" spans="1:47" ht="15.4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</row>
    <row r="144" spans="1:47" ht="15.4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</row>
    <row r="145" spans="1:47" ht="15.4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</row>
    <row r="146" spans="1:47" ht="15.4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</row>
    <row r="147" spans="1:47" ht="15.4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</row>
    <row r="148" spans="1:47" ht="15.4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</row>
    <row r="149" spans="1:47" ht="15.4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</row>
    <row r="150" spans="1:47" ht="15.4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</row>
    <row r="151" spans="1:47" ht="15.4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</row>
    <row r="152" spans="1:47" ht="15.4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</row>
    <row r="153" spans="1:47" ht="15.4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</row>
    <row r="154" spans="1:47" ht="15.4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</row>
    <row r="155" spans="1:47" ht="15.4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</row>
    <row r="156" spans="1:47" ht="15.4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</row>
    <row r="157" spans="1:47" ht="15.4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</row>
    <row r="158" spans="1:47" ht="15.4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</row>
    <row r="159" spans="1:47" ht="15.4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</row>
    <row r="160" spans="1:47" ht="15.4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</row>
    <row r="161" spans="1:47" ht="15.4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</row>
    <row r="162" spans="1:47" ht="15.4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</row>
    <row r="163" spans="1:47" ht="15.4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</row>
    <row r="164" spans="1:47" ht="15.4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</row>
    <row r="165" spans="1:47" ht="15.4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</row>
    <row r="166" spans="1:47" ht="15.4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</row>
    <row r="167" spans="1:47" ht="15.4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</row>
    <row r="168" spans="1:47" ht="15.4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</row>
    <row r="169" spans="1:47" ht="15.4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</row>
    <row r="170" spans="1:47" ht="15.4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</row>
    <row r="171" spans="1:47" ht="15.4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</row>
    <row r="172" spans="1:47" ht="15.4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</row>
    <row r="173" spans="1:47" ht="15.4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</row>
    <row r="174" spans="1:47" ht="15.4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</row>
    <row r="175" spans="1:47" ht="15.4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</row>
    <row r="176" spans="1:47" ht="15.4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</row>
    <row r="177" spans="1:47" ht="15.4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</row>
    <row r="178" spans="1:47" ht="15.4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</row>
    <row r="179" spans="1:47" ht="15.4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</row>
    <row r="180" spans="1:47" ht="15.4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</row>
    <row r="181" spans="1:47" ht="15.4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</row>
    <row r="182" spans="1:47" ht="15.4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</row>
    <row r="183" spans="1:47" ht="15.4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</row>
    <row r="184" spans="1:47" ht="15.4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</row>
    <row r="185" spans="1:47" ht="15.4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</row>
    <row r="186" spans="1:47" ht="15.4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</row>
    <row r="187" spans="1:47" ht="15.4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</row>
    <row r="188" spans="1:47" ht="15.4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</row>
    <row r="189" spans="1:47" ht="15.4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</row>
    <row r="190" spans="1:47" ht="15.4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</row>
    <row r="191" spans="1:47" ht="15.4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</row>
    <row r="192" spans="1:47" ht="15.4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</row>
    <row r="193" spans="1:47" ht="15.4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</row>
    <row r="194" spans="1:47" ht="15.4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</row>
    <row r="195" spans="1:47" ht="15.4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</row>
    <row r="196" spans="1:47" ht="15.4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</row>
    <row r="197" spans="1:47" ht="15.4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</row>
    <row r="198" spans="1:47" ht="15.4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</row>
    <row r="199" spans="1:47" ht="15.4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</row>
    <row r="200" spans="1:47" ht="15.4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</row>
    <row r="201" spans="1:47" ht="15.4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</row>
    <row r="202" spans="1:47" ht="15.4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</row>
    <row r="203" spans="1:47" ht="15.4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</row>
    <row r="204" spans="1:47" ht="15.4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</row>
    <row r="205" spans="1:47" ht="15.4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</row>
    <row r="206" spans="1:47" ht="15.4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</row>
    <row r="207" spans="1:47" ht="15.4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</row>
    <row r="208" spans="1:47" ht="15.4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</row>
    <row r="209" spans="1:47" ht="15.4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</row>
    <row r="210" spans="1:47" ht="15.4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</row>
    <row r="211" spans="1:47" ht="15.4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</row>
    <row r="212" spans="1:47" ht="15.4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</row>
    <row r="213" spans="1:47" ht="15.4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</row>
    <row r="214" spans="1:47" ht="15.4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</row>
    <row r="215" spans="1:47" ht="15.4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</row>
    <row r="216" spans="1:47" ht="15.4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</row>
    <row r="217" spans="1:47" ht="15.4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</row>
    <row r="218" spans="1:47" ht="15.4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</row>
    <row r="219" spans="1:47" ht="15.4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</row>
    <row r="220" spans="1:47" ht="15.45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5.45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5.45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5.45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5.45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5.45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5.45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5.45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5.45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5.45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5.45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5.45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5.45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5.45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5.45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5.45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5.45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5.45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5.45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5.45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5.45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5.45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5.45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5.45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5.45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5.45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5.45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5.45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5.45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5.45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5.45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5.45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5.45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5.45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5.45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5.45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5.45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5.45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5.45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5.45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5.45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5.45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5.45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5.45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5.45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5.45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5.45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5.45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5.45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5.45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5.45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5.45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5.45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5.45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5.45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5.45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5.45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5.45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5.45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5.45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5.45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5.45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5.45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5.45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5.45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5.45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5.45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5.45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5.45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5.45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5.45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5.45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5.45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5.45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5.45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5.45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5.45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5.45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5.45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5.45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5.45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ht="15.45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ht="15.45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ht="15.45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ht="15.45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ht="15.45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ht="15.45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ht="15.45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ht="15.45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ht="15.45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ht="15.45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ht="15.45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ht="15.45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ht="15.45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ht="15.45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ht="15.45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ht="15.45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ht="15.45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ht="15.45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ht="15.45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ht="15.45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ht="15.45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ht="15.45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ht="15.45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ht="15.45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ht="15.45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ht="15.45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ht="15.45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ht="15.45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ht="15.45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ht="15.45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ht="15.45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ht="15.45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ht="15.45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ht="15.45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ht="15.45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ht="15.45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ht="15.45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ht="15.45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ht="15.45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ht="15.45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ht="15.45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ht="15.45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ht="15.45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ht="15.45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ht="15.45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ht="15.45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ht="15.45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ht="15.45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ht="15.45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ht="15.45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ht="15.45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ht="15.45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ht="15.45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ht="15.45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ht="15.45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ht="15.45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ht="15.45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ht="15.45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ht="15.45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ht="15.45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ht="15.45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ht="15.45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ht="15.45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ht="15.45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ht="15.45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ht="15.45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ht="15.45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ht="15.45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ht="15.45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ht="15.45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ht="15.45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ht="15.45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ht="15.45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ht="15.45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ht="15.45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ht="15.45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ht="15.45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ht="15.45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ht="15.45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ht="15.45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ht="15.45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ht="15.45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ht="15.45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ht="15.45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ht="15.45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ht="15.45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ht="15.45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ht="15.45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ht="15.45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ht="15.45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ht="15.45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ht="15.45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ht="15.45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ht="15.45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ht="15.45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ht="15.45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ht="15.45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ht="15.45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ht="15.45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ht="15.45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ht="15.45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ht="15.45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ht="15.45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ht="15.45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ht="15.45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ht="15.45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ht="15.45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ht="15.45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ht="15.45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ht="15.45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ht="15.45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ht="15.45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ht="15.45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ht="15.45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ht="15.45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ht="15.45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ht="15.45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ht="15.45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ht="15.45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ht="15.45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ht="15.45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ht="15.45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ht="15.45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ht="15.45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ht="15.45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ht="15.45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ht="15.45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ht="15.45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ht="15.45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ht="15.45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ht="15.45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ht="15.45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ht="15.45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ht="15.45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ht="15.45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ht="15.45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ht="15.45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ht="15.45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ht="15.45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ht="15.45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ht="15.45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ht="15.45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ht="15.45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ht="15.45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ht="15.45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ht="15.45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ht="15.45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ht="15.45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ht="15.45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ht="15.45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ht="15.45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ht="15.45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ht="15.45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ht="15.45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ht="15.45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ht="15.45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ht="15.45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ht="15.45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ht="15.45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ht="15.45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ht="15.45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ht="15.45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ht="15.45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ht="15.45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ht="15.45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ht="15.45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ht="15.45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ht="15.45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ht="15.45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ht="15.45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ht="15.45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ht="15.45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ht="15.45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ht="15.45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ht="15.45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ht="15.45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ht="15.45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ht="15.45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ht="15.45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ht="15.45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ht="15.45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ht="15.45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ht="15.45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ht="15.45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ht="15.45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ht="15.45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ht="15.45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ht="15.45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ht="15.45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ht="15.45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ht="15.45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ht="15.45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ht="15.45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ht="15.45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ht="15.45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ht="15.45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ht="15.45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ht="15.45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ht="15.45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ht="15.45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spans="1:47" ht="15.45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spans="1:47" ht="15.45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spans="1:47" ht="15.45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spans="1:47" ht="15.45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spans="1:47" ht="15.45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spans="1:47" ht="15.45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spans="1:47" ht="15.45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spans="1:47" ht="15.45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spans="1:47" ht="15.45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spans="1:47" ht="15.45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spans="1:47" ht="15.45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spans="1:47" ht="15.45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spans="1:47" ht="15.45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spans="1:47" ht="15.45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spans="1:47" ht="15.45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spans="1:47" ht="15.45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spans="1:47" ht="15.45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spans="1:47" ht="15.45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spans="1:47" ht="15.45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spans="1:47" ht="15.45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spans="1:47" ht="15.45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spans="1:47" ht="15.45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spans="1:47" ht="15.45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spans="1:47" ht="15.45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spans="1:47" ht="15.45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spans="1:47" ht="15.45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spans="1:47" ht="15.45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spans="1:47" ht="15.45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spans="1:47" ht="15.45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spans="1:47" ht="15.45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spans="1:47" ht="15.45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spans="1:47" ht="15.45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spans="1:47" ht="15.45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spans="1:47" ht="15.45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spans="1:47" ht="15.45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spans="1:47" ht="15.45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spans="1:47" ht="15.45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spans="1:47" ht="15.45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spans="1:47" ht="15.45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spans="1:47" ht="15.45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spans="1:47" ht="15.45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spans="1:47" ht="15.45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spans="1:47" ht="15.45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spans="1:47" ht="15.45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spans="1:47" ht="15.45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spans="1:47" ht="15.45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spans="1:47" ht="15.45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spans="1:47" ht="15.45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spans="1:47" ht="15.45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spans="1:47" ht="15.45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spans="1:47" ht="15.45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spans="1:47" ht="15.45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spans="1:47" ht="15.45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spans="1:47" ht="15.45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spans="1:47" ht="15.45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spans="1:47" ht="15.45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spans="1:47" ht="15.45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spans="1:47" ht="15.45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spans="1:47" ht="15.45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spans="1:47" ht="15.45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spans="1:47" ht="15.45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spans="1:47" ht="15.45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spans="1:47" ht="15.45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spans="1:47" ht="15.45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spans="1:47" ht="15.45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spans="1:47" ht="15.45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spans="1:47" ht="15.45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spans="1:47" ht="15.45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spans="1:47" ht="15.45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spans="1:47" ht="15.45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spans="1:47" ht="15.45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spans="1:47" ht="15.45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spans="1:47" ht="15.45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spans="1:47" ht="15.45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spans="1:47" ht="15.45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spans="1:47" ht="15.45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spans="1:47" ht="15.45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spans="1:47" ht="15.45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spans="1:47" ht="15.45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spans="1:47" ht="15.45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spans="1:47" ht="15.45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spans="1:47" ht="15.45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spans="1:47" ht="15.45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spans="1:47" ht="15.45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spans="1:47" ht="15.45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spans="1:47" ht="15.45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spans="1:47" ht="15.45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spans="1:47" ht="15.45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spans="1:47" ht="15.45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spans="1:47" ht="15.45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spans="1:47" ht="15.45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spans="1:47" ht="15.45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spans="1:47" ht="15.45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spans="1:47" ht="15.45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spans="1:47" ht="15.45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spans="1:47" ht="15.45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spans="1:47" ht="15.45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spans="1:47" ht="15.45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spans="1:47" ht="15.45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spans="1:47" ht="15.45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spans="1:47" ht="15.45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spans="1:47" ht="15.45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spans="1:47" ht="15.45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spans="1:47" ht="15.45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spans="1:47" ht="15.45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spans="1:47" ht="15.45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spans="1:47" ht="15.45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spans="1:47" ht="15.45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spans="1:47" ht="15.45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spans="1:47" ht="15.45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spans="1:47" ht="15.45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spans="1:47" ht="15.45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spans="1:47" ht="15.45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spans="1:47" ht="15.45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spans="1:47" ht="15.45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spans="1:47" ht="15.45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spans="1:47" ht="15.45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spans="1:47" ht="15.45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spans="1:47" ht="15.45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spans="1:47" ht="15.45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spans="1:47" ht="15.45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spans="1:47" ht="15.45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spans="1:47" ht="15.45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spans="1:47" ht="15.45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spans="1:47" ht="15.45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spans="1:47" ht="15.45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spans="1:47" ht="15.45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spans="1:47" ht="15.45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spans="1:47" ht="15.45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spans="1:47" ht="15.45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spans="1:47" ht="15.45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spans="1:47" ht="15.45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spans="1:47" ht="15.45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spans="1:47" ht="15.45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spans="1:47" ht="15.45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spans="1:47" ht="15.45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spans="1:47" ht="15.45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spans="1:47" ht="15.45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spans="1:47" ht="15.45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spans="1:47" ht="15.45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spans="1:47" ht="15.45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spans="1:47" ht="15.45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spans="1:47" ht="15.45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spans="1:47" ht="15.45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spans="1:47" ht="15.45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spans="1:47" ht="15.45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spans="1:47" ht="15.45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spans="1:47" ht="15.45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spans="1:47" ht="15.45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spans="1:47" ht="15.45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spans="1:47" ht="15.45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spans="1:47" ht="15.45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spans="1:47" ht="15.45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spans="1:47" ht="15.45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spans="1:47" ht="15.45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spans="1:47" ht="15.45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spans="1:47" ht="15.45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spans="1:47" ht="15.45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spans="1:47" ht="15.45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spans="1:47" ht="15.45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spans="1:47" ht="15.45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spans="1:47" ht="15.45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spans="1:47" ht="15.45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spans="1:47" ht="15.45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spans="1:47" ht="15.45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spans="1:47" ht="15.45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spans="1:47" ht="15.45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spans="1:47" ht="15.45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spans="1:47" ht="15.45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spans="1:47" ht="15.45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spans="1:47" ht="15.45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spans="1:47" ht="15.45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spans="1:47" ht="15.45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spans="1:47" ht="15.45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spans="1:47" ht="15.45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spans="1:47" ht="15.45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spans="1:47" ht="15.45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spans="1:47" ht="15.45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spans="1:47" ht="15.45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spans="1:47" ht="15.45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spans="1:47" ht="15.45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spans="1:47" ht="15.45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spans="1:47" ht="15.45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spans="1:47" ht="15.45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spans="1:47" ht="15.45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spans="1:47" ht="15.45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spans="1:47" ht="15.45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spans="1:47" ht="15.45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spans="1:47" ht="15.45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spans="1:47" ht="15.45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spans="1:47" ht="15.45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spans="1:47" ht="15.45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spans="1:47" ht="15.45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spans="1:47" ht="15.45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spans="1:47" ht="15.45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spans="1:47" ht="15.45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spans="1:47" ht="15.45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spans="1:47" ht="15.45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spans="1:47" ht="15.45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spans="1:47" ht="15.45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spans="1:47" ht="15.45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spans="1:47" ht="15.45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spans="1:47" ht="15.45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spans="1:47" ht="15.45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spans="1:47" ht="15.45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spans="1:47" ht="15.45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spans="1:47" ht="15.45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spans="1:47" ht="15.45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spans="1:47" ht="15.45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spans="1:47" ht="15.45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spans="1:47" ht="15.45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spans="1:47" ht="15.45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spans="1:47" ht="15.45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spans="1:47" ht="15.45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spans="1:47" ht="15.45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spans="1:47" ht="15.45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spans="1:47" ht="15.45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spans="1:47" ht="15.45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spans="1:47" ht="15.45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spans="1:47" ht="15.45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spans="1:47" ht="15.45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spans="1:47" ht="15.45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spans="1:47" ht="15.45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spans="1:47" ht="15.45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spans="1:47" ht="15.45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spans="1:47" ht="15.45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spans="1:47" ht="15.45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spans="1:47" ht="15.45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spans="1:47" ht="15.45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spans="1:47" ht="15.45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spans="1:47" ht="15.45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spans="1:47" ht="15.45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spans="1:47" ht="15.45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spans="1:47" ht="15.45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spans="1:47" ht="15.45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spans="1:47" ht="15.45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spans="1:47" ht="15.45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spans="1:47" ht="15.45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spans="1:47" ht="15.45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spans="1:47" ht="15.45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spans="1:47" ht="15.45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spans="1:47" ht="15.45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spans="1:47" ht="15.45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spans="1:47" ht="15.45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spans="1:47" ht="15.45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spans="1:47" ht="15.45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spans="1:47" ht="15.45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spans="1:47" ht="15.45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spans="1:47" ht="15.45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spans="1:47" ht="15.45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spans="1:47" ht="15.45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spans="1:47" ht="15.45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spans="1:47" ht="15.45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spans="1:47" ht="15.45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spans="1:47" ht="15.45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spans="1:47" ht="15.45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spans="1:47" ht="15.45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spans="1:47" ht="15.45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spans="1:47" ht="15.45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spans="1:47" ht="15.45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spans="1:47" ht="15.45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spans="1:47" ht="15.45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spans="1:47" ht="15.45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spans="1:47" ht="15.45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spans="1:47" ht="15.45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spans="1:47" ht="15.45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spans="1:47" ht="15.45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spans="1:47" ht="15.45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spans="1:47" ht="15.45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spans="1:47" ht="15.45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spans="1:47" ht="15.45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spans="1:47" ht="15.45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spans="1:47" ht="15.45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spans="1:47" ht="15.45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spans="1:47" ht="15.45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spans="1:47" ht="15.45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spans="1:47" ht="15.45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spans="1:47" ht="15.45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spans="1:47" ht="15.45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spans="1:47" ht="15.45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spans="1:47" ht="15.45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 spans="1:47" ht="15.45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 spans="1:47" ht="15.45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 spans="1:47" ht="15.45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 spans="1:47" ht="15.45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 spans="1:47" ht="15.45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 spans="1:47" ht="15.45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 spans="1:47" ht="15.45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 spans="1:47" ht="15.45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 spans="1:47" ht="15.45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 spans="1:47" ht="15.45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 spans="1:47" ht="15.45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 spans="1:47" ht="15.45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 spans="1:47" ht="15.45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 spans="1:47" ht="15.45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 spans="1:47" ht="15.45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 spans="1:47" ht="15.45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 spans="1:47" ht="15.45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 spans="1:47" ht="15.45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 spans="1:47" ht="15.45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 spans="1:47" ht="15.45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 spans="1:47" ht="15.45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 spans="1:47" ht="15.45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 spans="1:47" ht="15.45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 spans="1:47" ht="15.45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 spans="1:47" ht="15.45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 spans="1:47" ht="15.45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 spans="1:47" ht="15.45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 spans="1:47" ht="15.45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 spans="1:47" ht="15.45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 spans="1:47" ht="15.45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 spans="1:47" ht="15.45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r="813" spans="1:47" ht="15.45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r="814" spans="1:47" ht="15.45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r="815" spans="1:47" ht="15.45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r="816" spans="1:47" ht="15.45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r="817" spans="1:47" ht="15.45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r="818" spans="1:47" ht="15.45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r="819" spans="1:47" ht="15.45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r="820" spans="1:47" ht="15.45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r="821" spans="1:47" ht="15.45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r="822" spans="1:47" ht="15.45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r="823" spans="1:47" ht="15.45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r="824" spans="1:47" ht="15.45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  <row r="825" spans="1:47" ht="15.45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</row>
    <row r="826" spans="1:47" ht="15.45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</row>
    <row r="827" spans="1:47" ht="15.45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</row>
    <row r="828" spans="1:47" ht="15.45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</row>
    <row r="829" spans="1:47" ht="15.45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</row>
    <row r="830" spans="1:47" ht="15.45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</row>
    <row r="831" spans="1:47" ht="15.45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</row>
    <row r="832" spans="1:47" ht="15.45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</row>
    <row r="833" spans="1:47" ht="15.45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</row>
    <row r="834" spans="1:47" ht="15.45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</row>
    <row r="835" spans="1:47" ht="15.45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</row>
    <row r="836" spans="1:47" ht="15.45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</row>
    <row r="837" spans="1:47" ht="15.45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</row>
    <row r="838" spans="1:47" ht="15.45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</row>
    <row r="839" spans="1:47" ht="15.45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</row>
    <row r="840" spans="1:47" ht="15.45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</row>
    <row r="841" spans="1:47" ht="15.45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</row>
    <row r="842" spans="1:47" ht="15.45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</row>
    <row r="843" spans="1:47" ht="15.45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  <row r="844" spans="1:47" ht="15.45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</row>
    <row r="845" spans="1:47" ht="15.45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</row>
    <row r="846" spans="1:47" ht="15.45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</row>
    <row r="847" spans="1:47" ht="15.45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</row>
    <row r="848" spans="1:47" ht="15.45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</row>
    <row r="849" spans="1:47" ht="15.45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</row>
    <row r="850" spans="1:47" ht="15.45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</row>
    <row r="851" spans="1:47" ht="15.45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</row>
    <row r="852" spans="1:47" ht="15.45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</row>
    <row r="853" spans="1:47" ht="15.45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</row>
    <row r="854" spans="1:47" ht="15.45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</row>
    <row r="855" spans="1:47" ht="15.45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</row>
    <row r="856" spans="1:47" ht="15.45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</row>
    <row r="857" spans="1:47" ht="15.45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</row>
    <row r="858" spans="1:47" ht="15.45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</row>
    <row r="859" spans="1:47" ht="15.45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</row>
    <row r="860" spans="1:47" ht="15.45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</row>
    <row r="861" spans="1:47" ht="15.45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</row>
    <row r="862" spans="1:47" ht="15.45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</row>
    <row r="863" spans="1:47" ht="15.45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</row>
    <row r="864" spans="1:47" ht="15.45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  <row r="865" spans="1:47" ht="15.45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</row>
    <row r="866" spans="1:47" ht="15.45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</row>
    <row r="867" spans="1:47" ht="15.45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</row>
    <row r="868" spans="1:47" ht="15.45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</row>
    <row r="869" spans="1:47" ht="15.45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</row>
    <row r="870" spans="1:47" ht="15.45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</row>
    <row r="871" spans="1:47" ht="15.45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</row>
    <row r="872" spans="1:47" ht="15.45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</row>
    <row r="873" spans="1:47" ht="15.45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</row>
    <row r="874" spans="1:47" ht="15.45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</row>
    <row r="875" spans="1:47" ht="15.45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</row>
    <row r="876" spans="1:47" ht="15.45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</row>
    <row r="877" spans="1:47" ht="15.45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</row>
    <row r="878" spans="1:47" ht="15.45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</row>
    <row r="879" spans="1:47" ht="15.45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</row>
    <row r="880" spans="1:47" ht="15.45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</row>
    <row r="881" spans="1:47" ht="15.45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</row>
    <row r="882" spans="1:47" ht="15.45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</row>
    <row r="883" spans="1:47" ht="15.45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</row>
    <row r="884" spans="1:47" ht="15.45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</row>
    <row r="885" spans="1:47" ht="15.45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</row>
    <row r="886" spans="1:47" ht="15.45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</row>
    <row r="887" spans="1:47" ht="15.45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</row>
    <row r="888" spans="1:47" ht="15.45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</row>
    <row r="889" spans="1:47" ht="15.45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</row>
    <row r="890" spans="1:47" ht="15.45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</row>
    <row r="891" spans="1:47" ht="15.45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</row>
    <row r="892" spans="1:47" ht="15.45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</row>
    <row r="893" spans="1:47" ht="15.45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</row>
    <row r="894" spans="1:47" ht="15.45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</row>
    <row r="895" spans="1:47" ht="15.45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</row>
    <row r="896" spans="1:47" ht="15.45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</row>
    <row r="897" spans="1:47" ht="15.45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</row>
    <row r="898" spans="1:47" ht="15.45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</row>
    <row r="899" spans="1:47" ht="15.45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</row>
    <row r="900" spans="1:47" ht="15.45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</row>
    <row r="901" spans="1:47" ht="15.45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</row>
    <row r="902" spans="1:47" ht="15.45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</row>
    <row r="903" spans="1:47" ht="15.45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</row>
    <row r="904" spans="1:47" ht="15.45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</row>
    <row r="905" spans="1:47" ht="15.45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</row>
    <row r="906" spans="1:47" ht="15.45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</row>
    <row r="907" spans="1:47" ht="15.45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</row>
    <row r="908" spans="1:47" ht="15.45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</row>
    <row r="909" spans="1:47" ht="15.45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</row>
    <row r="910" spans="1:47" ht="15.45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</row>
    <row r="911" spans="1:47" ht="15.45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</row>
    <row r="912" spans="1:47" ht="15.45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</row>
    <row r="913" spans="1:47" ht="15.45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</row>
    <row r="914" spans="1:47" ht="15.45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</row>
    <row r="915" spans="1:47" ht="15.45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</row>
    <row r="916" spans="1:47" ht="15.45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</row>
    <row r="917" spans="1:47" ht="15.45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</row>
    <row r="918" spans="1:47" ht="15.45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</row>
    <row r="919" spans="1:47" ht="15.45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</row>
    <row r="920" spans="1:47" ht="15.45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</row>
    <row r="921" spans="1:47" ht="15.45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</row>
    <row r="922" spans="1:47" ht="15.45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</row>
    <row r="923" spans="1:47" ht="15.45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</row>
    <row r="924" spans="1:47" ht="15.45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</row>
    <row r="925" spans="1:47" ht="15.45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</row>
    <row r="926" spans="1:47" ht="15.45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</row>
    <row r="927" spans="1:47" ht="15.45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</row>
    <row r="928" spans="1:47" ht="15.45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</row>
    <row r="929" spans="1:47" ht="15.45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</row>
    <row r="930" spans="1:47" ht="15.45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</row>
    <row r="931" spans="1:47" ht="15.45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</row>
    <row r="932" spans="1:47" ht="15.45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</row>
    <row r="933" spans="1:47" ht="15.45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</row>
    <row r="934" spans="1:47" ht="15.45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</row>
    <row r="935" spans="1:47" ht="15.45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</row>
    <row r="936" spans="1:47" ht="15.45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</row>
    <row r="937" spans="1:47" ht="15.45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</row>
    <row r="938" spans="1:47" ht="15.45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</row>
    <row r="939" spans="1:47" ht="15.45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</row>
    <row r="940" spans="1:47" ht="15.45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</row>
    <row r="941" spans="1:47" ht="15.45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</row>
    <row r="942" spans="1:47" ht="15.45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</row>
    <row r="943" spans="1:47" ht="15.45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</row>
    <row r="944" spans="1:47" ht="15.45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</row>
    <row r="945" spans="1:47" ht="15.45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</row>
    <row r="946" spans="1:47" ht="15.45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</row>
    <row r="947" spans="1:47" ht="15.45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</row>
    <row r="948" spans="1:47" ht="15.45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</row>
    <row r="949" spans="1:47" ht="15.45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</row>
    <row r="950" spans="1:47" ht="15.45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</row>
    <row r="951" spans="1:47" ht="15.45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</row>
    <row r="952" spans="1:47" ht="15.45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  <row r="953" spans="1:47" ht="15.45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</row>
    <row r="954" spans="1:47" ht="15.45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</row>
    <row r="955" spans="1:47" ht="15.45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</row>
    <row r="956" spans="1:47" ht="15.45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</row>
    <row r="957" spans="1:47" ht="15.45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</row>
    <row r="958" spans="1:47" ht="15.45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</row>
    <row r="959" spans="1:47" ht="15.45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</row>
    <row r="960" spans="1:47" ht="15.45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</row>
    <row r="961" spans="1:47" ht="15.45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</row>
    <row r="962" spans="1:47" ht="15.45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</row>
    <row r="963" spans="1:47" ht="15.45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</row>
    <row r="964" spans="1:47" ht="15.45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</row>
    <row r="965" spans="1:47" ht="15.45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</row>
    <row r="966" spans="1:47" ht="15.45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</row>
    <row r="967" spans="1:47" ht="15.45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</row>
    <row r="968" spans="1:47" ht="15.45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</row>
    <row r="969" spans="1:47" ht="15.45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</row>
    <row r="970" spans="1:47" ht="15.45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</row>
    <row r="971" spans="1:47" ht="15.45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</row>
    <row r="972" spans="1:47" ht="15.45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</row>
    <row r="973" spans="1:47" ht="15.45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</row>
    <row r="974" spans="1:47" ht="15.45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</row>
    <row r="975" spans="1:47" ht="15.45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</row>
    <row r="976" spans="1:47" ht="15.45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</row>
    <row r="977" spans="1:47" ht="15.45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</row>
    <row r="978" spans="1:47" ht="15.45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</row>
    <row r="979" spans="1:47" ht="15.45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</row>
    <row r="980" spans="1:47" ht="15.45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</row>
    <row r="981" spans="1:47" ht="15.45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</row>
    <row r="982" spans="1:47" ht="15.45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</row>
    <row r="983" spans="1:47" ht="15.45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</row>
    <row r="984" spans="1:47" ht="15.45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</row>
    <row r="985" spans="1:47" ht="15.45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</row>
    <row r="986" spans="1:47" ht="15.45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</row>
    <row r="987" spans="1:47" ht="15.45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</row>
    <row r="988" spans="1:47" ht="15.45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</row>
    <row r="989" spans="1:47" ht="15.45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</row>
    <row r="990" spans="1:47" ht="15.45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</row>
    <row r="991" spans="1:47" ht="15.45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</row>
    <row r="992" spans="1:47" ht="15.45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</row>
    <row r="993" spans="1:47" ht="15.45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</row>
    <row r="994" spans="1:47" ht="15.45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</row>
    <row r="995" spans="1:47" ht="15.45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</row>
    <row r="996" spans="1:47" ht="15.45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</row>
    <row r="997" spans="1:47" ht="15.45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</row>
    <row r="998" spans="1:47" ht="15.45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</row>
    <row r="999" spans="1:47" ht="15.45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</row>
  </sheetData>
  <mergeCells count="1">
    <mergeCell ref="A1:T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E43"/>
  <sheetViews>
    <sheetView workbookViewId="0"/>
  </sheetViews>
  <sheetFormatPr defaultColWidth="11.2109375" defaultRowHeight="15" customHeight="1" x14ac:dyDescent="0.4"/>
  <cols>
    <col min="1" max="1" width="17.5703125" customWidth="1"/>
    <col min="2" max="2" width="11" customWidth="1"/>
    <col min="3" max="3" width="38.2109375" customWidth="1"/>
    <col min="4" max="4" width="78.85546875" customWidth="1"/>
    <col min="5" max="5" width="41.5703125" customWidth="1"/>
    <col min="6" max="26" width="8.5703125" customWidth="1"/>
  </cols>
  <sheetData>
    <row r="2" spans="2:5" ht="15" customHeight="1" x14ac:dyDescent="0.4">
      <c r="B2" s="6" t="s">
        <v>73</v>
      </c>
      <c r="C2" s="17" t="s">
        <v>74</v>
      </c>
      <c r="D2" s="18"/>
      <c r="E2" s="19"/>
    </row>
    <row r="3" spans="2:5" ht="15" customHeight="1" x14ac:dyDescent="0.4">
      <c r="B3" s="7">
        <v>1</v>
      </c>
      <c r="C3" s="8" t="s">
        <v>6</v>
      </c>
      <c r="D3" s="9" t="s">
        <v>75</v>
      </c>
      <c r="E3" s="10" t="s">
        <v>76</v>
      </c>
    </row>
    <row r="4" spans="2:5" ht="15" customHeight="1" x14ac:dyDescent="0.4">
      <c r="B4" s="7">
        <v>2</v>
      </c>
      <c r="C4" s="11" t="s">
        <v>7</v>
      </c>
      <c r="D4" s="10" t="s">
        <v>77</v>
      </c>
      <c r="E4" s="10" t="s">
        <v>76</v>
      </c>
    </row>
    <row r="5" spans="2:5" ht="15" customHeight="1" x14ac:dyDescent="0.4">
      <c r="B5" s="7">
        <v>3</v>
      </c>
      <c r="C5" s="11" t="s">
        <v>8</v>
      </c>
      <c r="D5" s="10" t="s">
        <v>78</v>
      </c>
      <c r="E5" s="10" t="s">
        <v>76</v>
      </c>
    </row>
    <row r="6" spans="2:5" ht="15" customHeight="1" x14ac:dyDescent="0.4">
      <c r="B6" s="7">
        <v>4</v>
      </c>
      <c r="C6" s="11" t="s">
        <v>9</v>
      </c>
      <c r="D6" s="10" t="s">
        <v>79</v>
      </c>
      <c r="E6" s="10" t="s">
        <v>76</v>
      </c>
    </row>
    <row r="7" spans="2:5" ht="15" customHeight="1" x14ac:dyDescent="0.4">
      <c r="B7" s="7">
        <v>5</v>
      </c>
      <c r="C7" s="11" t="s">
        <v>10</v>
      </c>
      <c r="D7" s="10" t="s">
        <v>80</v>
      </c>
      <c r="E7" s="10" t="s">
        <v>81</v>
      </c>
    </row>
    <row r="8" spans="2:5" ht="15" customHeight="1" x14ac:dyDescent="0.4">
      <c r="B8" s="7">
        <v>6</v>
      </c>
      <c r="C8" s="11" t="s">
        <v>82</v>
      </c>
      <c r="D8" s="10" t="s">
        <v>83</v>
      </c>
      <c r="E8" s="10" t="s">
        <v>84</v>
      </c>
    </row>
    <row r="9" spans="2:5" ht="15" customHeight="1" x14ac:dyDescent="0.4">
      <c r="B9" s="7">
        <v>7</v>
      </c>
      <c r="C9" s="11" t="s">
        <v>13</v>
      </c>
      <c r="D9" s="10" t="s">
        <v>85</v>
      </c>
      <c r="E9" s="10" t="s">
        <v>86</v>
      </c>
    </row>
    <row r="10" spans="2:5" ht="15" customHeight="1" x14ac:dyDescent="0.4">
      <c r="B10" s="7">
        <v>8</v>
      </c>
      <c r="C10" s="11" t="s">
        <v>14</v>
      </c>
      <c r="D10" s="10" t="s">
        <v>87</v>
      </c>
      <c r="E10" s="10" t="s">
        <v>88</v>
      </c>
    </row>
    <row r="11" spans="2:5" ht="15" customHeight="1" x14ac:dyDescent="0.4">
      <c r="B11" s="7">
        <v>9</v>
      </c>
      <c r="C11" s="11" t="s">
        <v>89</v>
      </c>
      <c r="D11" s="10" t="s">
        <v>90</v>
      </c>
      <c r="E11" s="10" t="s">
        <v>88</v>
      </c>
    </row>
    <row r="12" spans="2:5" ht="15" customHeight="1" x14ac:dyDescent="0.4">
      <c r="B12" s="7">
        <v>10</v>
      </c>
      <c r="C12" s="11" t="s">
        <v>16</v>
      </c>
      <c r="D12" s="10" t="s">
        <v>91</v>
      </c>
      <c r="E12" s="10" t="s">
        <v>92</v>
      </c>
    </row>
    <row r="13" spans="2:5" ht="15" customHeight="1" x14ac:dyDescent="0.4">
      <c r="B13" s="7">
        <v>11</v>
      </c>
      <c r="C13" s="11" t="s">
        <v>17</v>
      </c>
      <c r="D13" s="10" t="s">
        <v>93</v>
      </c>
      <c r="E13" s="10" t="s">
        <v>88</v>
      </c>
    </row>
    <row r="14" spans="2:5" ht="15" customHeight="1" x14ac:dyDescent="0.4">
      <c r="B14" s="7">
        <v>12</v>
      </c>
      <c r="C14" s="11" t="s">
        <v>18</v>
      </c>
      <c r="D14" s="10" t="s">
        <v>94</v>
      </c>
      <c r="E14" s="10" t="s">
        <v>95</v>
      </c>
    </row>
    <row r="15" spans="2:5" ht="15" customHeight="1" x14ac:dyDescent="0.4">
      <c r="B15" s="7">
        <v>13</v>
      </c>
      <c r="C15" s="11" t="s">
        <v>19</v>
      </c>
      <c r="D15" s="10" t="s">
        <v>96</v>
      </c>
      <c r="E15" s="10" t="s">
        <v>97</v>
      </c>
    </row>
    <row r="16" spans="2:5" ht="15" customHeight="1" x14ac:dyDescent="0.4">
      <c r="B16" s="7">
        <v>14</v>
      </c>
      <c r="C16" s="11" t="s">
        <v>20</v>
      </c>
      <c r="D16" s="10" t="s">
        <v>98</v>
      </c>
      <c r="E16" s="10" t="s">
        <v>99</v>
      </c>
    </row>
    <row r="17" spans="2:5" ht="15" customHeight="1" x14ac:dyDescent="0.4">
      <c r="B17" s="7">
        <v>15</v>
      </c>
      <c r="C17" s="11" t="s">
        <v>21</v>
      </c>
      <c r="D17" s="10" t="s">
        <v>100</v>
      </c>
      <c r="E17" s="10" t="s">
        <v>99</v>
      </c>
    </row>
    <row r="18" spans="2:5" ht="15" customHeight="1" x14ac:dyDescent="0.4">
      <c r="B18" s="7">
        <v>16</v>
      </c>
      <c r="C18" s="11" t="s">
        <v>22</v>
      </c>
      <c r="D18" s="10" t="s">
        <v>101</v>
      </c>
      <c r="E18" s="10" t="s">
        <v>97</v>
      </c>
    </row>
    <row r="19" spans="2:5" ht="15" customHeight="1" x14ac:dyDescent="0.4">
      <c r="B19" s="7">
        <v>17</v>
      </c>
      <c r="C19" s="12" t="s">
        <v>23</v>
      </c>
      <c r="D19" s="10" t="s">
        <v>102</v>
      </c>
      <c r="E19" s="10" t="s">
        <v>103</v>
      </c>
    </row>
    <row r="20" spans="2:5" ht="15" customHeight="1" x14ac:dyDescent="0.4">
      <c r="B20" s="7">
        <v>18</v>
      </c>
      <c r="C20" s="13" t="s">
        <v>104</v>
      </c>
      <c r="D20" s="10" t="s">
        <v>105</v>
      </c>
      <c r="E20" s="10" t="s">
        <v>106</v>
      </c>
    </row>
    <row r="21" spans="2:5" ht="15" customHeight="1" x14ac:dyDescent="0.4">
      <c r="B21" s="7">
        <v>19</v>
      </c>
      <c r="C21" s="13" t="s">
        <v>25</v>
      </c>
      <c r="D21" s="10" t="s">
        <v>107</v>
      </c>
      <c r="E21" s="10" t="s">
        <v>106</v>
      </c>
    </row>
    <row r="22" spans="2:5" ht="15" customHeight="1" x14ac:dyDescent="0.4">
      <c r="B22" s="7">
        <v>20</v>
      </c>
      <c r="C22" s="13" t="s">
        <v>26</v>
      </c>
      <c r="D22" s="10" t="s">
        <v>108</v>
      </c>
      <c r="E22" s="10" t="s">
        <v>106</v>
      </c>
    </row>
    <row r="23" spans="2:5" ht="15" customHeight="1" x14ac:dyDescent="0.4">
      <c r="B23" s="7">
        <v>21</v>
      </c>
      <c r="C23" s="14" t="s">
        <v>27</v>
      </c>
      <c r="D23" s="10" t="s">
        <v>109</v>
      </c>
      <c r="E23" s="10" t="s">
        <v>95</v>
      </c>
    </row>
    <row r="24" spans="2:5" ht="15" customHeight="1" x14ac:dyDescent="0.4">
      <c r="B24" s="7">
        <v>22</v>
      </c>
      <c r="C24" s="11" t="s">
        <v>29</v>
      </c>
      <c r="D24" s="10" t="s">
        <v>110</v>
      </c>
      <c r="E24" s="10" t="s">
        <v>86</v>
      </c>
    </row>
    <row r="25" spans="2:5" ht="15" customHeight="1" x14ac:dyDescent="0.4">
      <c r="B25" s="7">
        <v>23</v>
      </c>
      <c r="C25" s="11" t="s">
        <v>30</v>
      </c>
      <c r="D25" s="10" t="s">
        <v>111</v>
      </c>
      <c r="E25" s="10" t="s">
        <v>112</v>
      </c>
    </row>
    <row r="26" spans="2:5" ht="15" customHeight="1" x14ac:dyDescent="0.4">
      <c r="B26" s="7">
        <v>24</v>
      </c>
      <c r="C26" s="11" t="s">
        <v>31</v>
      </c>
      <c r="D26" s="10" t="s">
        <v>113</v>
      </c>
      <c r="E26" s="10" t="s">
        <v>86</v>
      </c>
    </row>
    <row r="27" spans="2:5" ht="15" customHeight="1" x14ac:dyDescent="0.4">
      <c r="B27" s="7">
        <v>25</v>
      </c>
      <c r="C27" s="11" t="s">
        <v>32</v>
      </c>
      <c r="D27" s="10" t="s">
        <v>114</v>
      </c>
      <c r="E27" s="10" t="s">
        <v>115</v>
      </c>
    </row>
    <row r="28" spans="2:5" ht="15" customHeight="1" x14ac:dyDescent="0.4">
      <c r="B28" s="7">
        <v>26</v>
      </c>
      <c r="C28" s="11" t="s">
        <v>33</v>
      </c>
      <c r="D28" s="10" t="s">
        <v>116</v>
      </c>
      <c r="E28" s="10" t="s">
        <v>117</v>
      </c>
    </row>
    <row r="29" spans="2:5" ht="15.45" x14ac:dyDescent="0.4">
      <c r="B29" s="7">
        <v>27</v>
      </c>
      <c r="C29" s="11" t="s">
        <v>34</v>
      </c>
      <c r="D29" s="10" t="s">
        <v>118</v>
      </c>
      <c r="E29" s="10" t="s">
        <v>115</v>
      </c>
    </row>
    <row r="30" spans="2:5" ht="15.45" x14ac:dyDescent="0.4">
      <c r="B30" s="7">
        <v>28</v>
      </c>
      <c r="C30" s="11" t="s">
        <v>35</v>
      </c>
      <c r="D30" s="10" t="s">
        <v>119</v>
      </c>
      <c r="E30" s="10" t="s">
        <v>120</v>
      </c>
    </row>
    <row r="31" spans="2:5" ht="15.45" x14ac:dyDescent="0.4">
      <c r="B31" s="7">
        <v>29</v>
      </c>
      <c r="C31" s="11" t="s">
        <v>36</v>
      </c>
      <c r="D31" s="10" t="s">
        <v>121</v>
      </c>
      <c r="E31" s="10" t="s">
        <v>86</v>
      </c>
    </row>
    <row r="32" spans="2:5" ht="15.45" x14ac:dyDescent="0.4">
      <c r="B32" s="7">
        <v>30</v>
      </c>
      <c r="C32" s="11" t="s">
        <v>37</v>
      </c>
      <c r="D32" s="10" t="s">
        <v>122</v>
      </c>
      <c r="E32" s="10" t="s">
        <v>86</v>
      </c>
    </row>
    <row r="33" spans="2:5" ht="15.45" x14ac:dyDescent="0.4">
      <c r="B33" s="7">
        <v>31</v>
      </c>
      <c r="C33" s="11" t="s">
        <v>123</v>
      </c>
      <c r="D33" s="10" t="s">
        <v>124</v>
      </c>
      <c r="E33" s="10" t="s">
        <v>86</v>
      </c>
    </row>
    <row r="34" spans="2:5" ht="15.45" x14ac:dyDescent="0.4">
      <c r="B34" s="7">
        <v>32</v>
      </c>
      <c r="C34" s="15" t="s">
        <v>39</v>
      </c>
      <c r="D34" s="10" t="s">
        <v>125</v>
      </c>
      <c r="E34" s="10" t="s">
        <v>95</v>
      </c>
    </row>
    <row r="35" spans="2:5" ht="15.45" x14ac:dyDescent="0.4">
      <c r="B35" s="7">
        <v>33</v>
      </c>
      <c r="C35" s="15" t="s">
        <v>40</v>
      </c>
      <c r="D35" s="10" t="s">
        <v>126</v>
      </c>
      <c r="E35" s="10" t="s">
        <v>86</v>
      </c>
    </row>
    <row r="36" spans="2:5" ht="15.45" x14ac:dyDescent="0.4">
      <c r="B36" s="7">
        <v>34</v>
      </c>
      <c r="C36" s="15" t="s">
        <v>41</v>
      </c>
      <c r="D36" s="10" t="s">
        <v>127</v>
      </c>
      <c r="E36" s="10" t="s">
        <v>128</v>
      </c>
    </row>
    <row r="37" spans="2:5" ht="15.45" x14ac:dyDescent="0.4">
      <c r="B37" s="7">
        <v>35</v>
      </c>
      <c r="C37" s="15" t="s">
        <v>42</v>
      </c>
      <c r="D37" s="10" t="s">
        <v>129</v>
      </c>
      <c r="E37" s="10" t="s">
        <v>95</v>
      </c>
    </row>
    <row r="38" spans="2:5" ht="15.45" x14ac:dyDescent="0.4">
      <c r="B38" s="7">
        <v>36</v>
      </c>
      <c r="C38" s="15" t="s">
        <v>43</v>
      </c>
      <c r="D38" s="10" t="s">
        <v>130</v>
      </c>
      <c r="E38" s="10" t="s">
        <v>131</v>
      </c>
    </row>
    <row r="39" spans="2:5" ht="15.45" x14ac:dyDescent="0.4">
      <c r="B39" s="7">
        <v>37</v>
      </c>
      <c r="C39" s="15" t="s">
        <v>44</v>
      </c>
      <c r="D39" s="10" t="s">
        <v>132</v>
      </c>
      <c r="E39" s="10" t="s">
        <v>88</v>
      </c>
    </row>
    <row r="40" spans="2:5" ht="15.45" x14ac:dyDescent="0.4">
      <c r="B40" s="7">
        <v>38</v>
      </c>
      <c r="C40" s="15" t="s">
        <v>45</v>
      </c>
      <c r="D40" s="10" t="s">
        <v>133</v>
      </c>
      <c r="E40" s="10" t="s">
        <v>131</v>
      </c>
    </row>
    <row r="41" spans="2:5" ht="15.45" x14ac:dyDescent="0.4">
      <c r="B41" s="16"/>
    </row>
    <row r="43" spans="2:5" ht="17.600000000000001" x14ac:dyDescent="0.4">
      <c r="B43" s="20" t="s">
        <v>134</v>
      </c>
      <c r="C43" s="18"/>
      <c r="D43" s="19"/>
    </row>
  </sheetData>
  <mergeCells count="2">
    <mergeCell ref="C2:E2"/>
    <mergeCell ref="B43:D43"/>
  </mergeCell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Firm data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Hong Anh</cp:lastModifiedBy>
  <dcterms:modified xsi:type="dcterms:W3CDTF">2026-03-21T16:42:58Z</dcterms:modified>
</cp:coreProperties>
</file>